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Funnel" sheetId="3" state="visible" r:id="rId5"/>
    <sheet name="Calculator" sheetId="4" state="visible" r:id="rId6"/>
    <sheet name="Revenue" sheetId="5" state="visible" r:id="rId7"/>
    <sheet name="SEO" sheetId="6" state="visible" r:id="rId8"/>
    <sheet name="Cold Email" sheetId="7" state="visible" r:id="rId9"/>
    <sheet name="Expenses" sheetId="8" state="visible" r:id="rId10"/>
    <sheet name="Unit Economics" sheetId="9" state="visible" r:id="rId11"/>
    <sheet name="Projections" sheetId="10" state="visible" r:id="rId12"/>
    <sheet name="Benchmarks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<sst xmlns="http://schemas.openxmlformats.org/spreadsheetml/2006/main" count="967" uniqueCount="699">
  <si>
    <t xml:space="preserve">GOVHUB — SAAS METRICS &amp; PROJECTIONS WORKBOOK  (v2, rebuilt on real data)</t>
  </si>
  <si>
    <t xml:space="preserve">Rebuilt 2026-08-13. Every actual in this file was pulled from a live system and is cited. Nothing is illustrative.</t>
  </si>
  <si>
    <t xml:space="preserve">⚠ WHAT CHANGED FROM v1 — READ THIS FIRST</t>
  </si>
  <si>
    <t xml:space="preserve">The July 2026 version of this workbook reported $1,085 MRR, 5 paying customers, 4,250 organic clicks and 10,000 cold</t>
  </si>
  <si>
    <t xml:space="preserve">emails sent. None of that was real. It was placeholder data written to demonstrate the formulas, labelled "ILLUSTRATIVE</t>
  </si>
  <si>
    <t xml:space="preserve">SAMPLE DATA" in the README, and never overwritten. Taking those numbers into an investor conversation would have been</t>
  </si>
  <si>
    <t xml:space="preserve">a serious problem. This version replaces every one of them with a queried, sourced actual.</t>
  </si>
  <si>
    <t xml:space="preserve">The honest headline as of 2026-08-13:  $0 MRR · 0 paying customers · 0 cold emails sent · 30 signups (9 external).</t>
  </si>
  <si>
    <t xml:space="preserve">GovHub is pre-revenue with a built-but-unlaunched acquisition engine. That is a legitimate stage. Overstating it is not.</t>
  </si>
  <si>
    <t xml:space="preserve">HOW TO READ THIS WORKBOOK</t>
  </si>
  <si>
    <t xml:space="preserve">BLUE cells = hardcoded inputs (an actual you pulled, or a lever you set).   BLACK = formulas, do not overwrite.</t>
  </si>
  <si>
    <t xml:space="preserve">GREEN = links to another tab.   YELLOW fill = the assumptions worth arguing about — the levers.</t>
  </si>
  <si>
    <t xml:space="preserve">Actuals tabs run Sep-25 → Aug-26 (Aug-26 is month-to-date through the 13th). Projections run forward from Sep-26.</t>
  </si>
  <si>
    <t xml:space="preserve">Every actual carries its source in column B. If a cell has no source, it is a forward assumption, not a fact.</t>
  </si>
  <si>
    <t xml:space="preserve">TAB GUIDE</t>
  </si>
  <si>
    <t xml:space="preserve">Dashboard — Where the business actually is today, what is moving, and what cannot be measured yet (and why).</t>
  </si>
  <si>
    <t xml:space="preserve">Funnel — THE CENTREPIECE. Channel → visitor → signup → activated → engaged → paid, with the conversion rate at every step, per channel.</t>
  </si>
  <si>
    <t xml:space="preserve">Calculator — The scenario engine. Change conversion rates, pricing, churn or spend and watch CAC, LTV, LTV:CAC, payback and time-to-$10k MRR move. Sensitivity grids at the bottom.</t>
  </si>
  <si>
    <t xml:space="preserve">Revenue — Customer and MRR waterfall. Currently all zeros — the structure is live and will populate on the first Stripe charge.</t>
  </si>
  <si>
    <t xml:space="preserve">SEO — Real Semrush + Google Search Console data. Keyword growth is the one genuinely strong number in this file.</t>
  </si>
  <si>
    <t xml:space="preserve">Cold Email — Real state of the Instantly build: 16 domains, 12 mailboxes, 3 campaigns, 0 sends. Plus the capacity model for what it produces once launched.</t>
  </si>
  <si>
    <t xml:space="preserve">Expenses — The exact cost stack you gave me, plus real Anthropic API spend. Run-rate, annual renewals, and burn.</t>
  </si>
  <si>
    <t xml:space="preserve">Unit Economics — CAC, LTV, LTV:CAC, payback. Most are undefined until the first paying customer — this tab shows exactly what each one needs.</t>
  </si>
  <si>
    <t xml:space="preserve">Projections — 24-month driver model (Sep-26 → Aug-28) wired to the Calculator's levers.</t>
  </si>
  <si>
    <t xml:space="preserve">Benchmarks — What good looks like, with sources, so every status flag in this file is defensible.</t>
  </si>
  <si>
    <t xml:space="preserve">DATA SOURCES USED TO BUILD THIS VERSION</t>
  </si>
  <si>
    <t xml:space="preserve">Supabase project GovProp (iqekrwearenblsmhvdjn) — accounts, subscriptions, plans, user_profiles, v2_submissions,</t>
  </si>
  <si>
    <t xml:space="preserve">     v2_token_usage, scheduled_emails. Queried live 2026-08-13.</t>
  </si>
  <si>
    <t xml:space="preserve">Semrush us database — govhub.online domain_rank + resource_rank_history + resource_organic. Pulled 2026-08-13.</t>
  </si>
  <si>
    <t xml:space="preserve">Google Search Console — via strata-parse/docs/seo/gsc-review-2026-07.md (property verified 2026-06-20).</t>
  </si>
  <si>
    <t xml:space="preserve">Instantly — via govhub-marketing/docs/instantly-wave1.md (campaign state as of 2026-08-12).</t>
  </si>
  <si>
    <t xml:space="preserve">Resend vendor outreach ledger — govhub-marketing/data/vendor-outreach.json (48 sent, 43 no-contact).</t>
  </si>
  <si>
    <t xml:space="preserve">Cost stack — provided directly by the founder, 2026-08-13. Marked as such on the Expenses tab.</t>
  </si>
  <si>
    <t xml:space="preserve">TWO OPEN ITEMS YOU NEED TO RESOLVE</t>
  </si>
  <si>
    <t xml:space="preserve">1. Stripe is not wired up. Every row in the plans table has a null stripe_price_id (monthly and annual). There is no</t>
  </si>
  <si>
    <t xml:space="preserve">   code path that can take money today. Until that ships, trial → paid conversion is structurally 0%, not behaviourally 0%.</t>
  </si>
  <si>
    <t xml:space="preserve">2. Supabase is not in your cost list. The GovProp project is ACTIVE_HEALTHY and serving production. If it is on the free</t>
  </si>
  <si>
    <t xml:space="preserve">   tier, it is a capacity risk; if it is billed, it is a missing cost line. Expenses row is stubbed at $0 pending your answer.</t>
  </si>
  <si>
    <t xml:space="preserve">EXECUTIVE DASHBOARD — as of 2026-08-13</t>
  </si>
  <si>
    <t xml:space="preserve">Pre-revenue. This tab separates what is true, what is moving, and what cannot yet be measured.</t>
  </si>
  <si>
    <t xml:space="preserve">WHERE THE BUSINESS ACTUALLY IS</t>
  </si>
  <si>
    <t xml:space="preserve">Metric</t>
  </si>
  <si>
    <t xml:space="preserve">Value</t>
  </si>
  <si>
    <t xml:space="preserve">Prior mo</t>
  </si>
  <si>
    <t xml:space="preserve">Δ</t>
  </si>
  <si>
    <t xml:space="preserve">Benchmark / target</t>
  </si>
  <si>
    <t xml:space="preserve">Status</t>
  </si>
  <si>
    <t xml:space="preserve">What it means</t>
  </si>
  <si>
    <t xml:space="preserve">MRR</t>
  </si>
  <si>
    <t xml:space="preserve">Any positive number</t>
  </si>
  <si>
    <t xml:space="preserve">PRE-REVENUE</t>
  </si>
  <si>
    <t xml:space="preserve">0 Stripe subscriptions exist. Not a churn problem — billing has never been switched on.</t>
  </si>
  <si>
    <t xml:space="preserve">Paying customers</t>
  </si>
  <si>
    <t xml:space="preserve">First 10 = proof</t>
  </si>
  <si>
    <t xml:space="preserve">All 30 accounts are plan_type='trial'.</t>
  </si>
  <si>
    <t xml:space="preserve">ARR (run-rate)</t>
  </si>
  <si>
    <t xml:space="preserve">—</t>
  </si>
  <si>
    <t xml:space="preserve">Total signups (all-time)</t>
  </si>
  <si>
    <t xml:space="preserve">Volume driver</t>
  </si>
  <si>
    <t xml:space="preserve">REAL</t>
  </si>
  <si>
    <t xml:space="preserve">30 accounts created since 2025-09.</t>
  </si>
  <si>
    <t xml:space="preserve">External signups (all-time)</t>
  </si>
  <si>
    <t xml:space="preserve">The number that counts</t>
  </si>
  <si>
    <t xml:space="preserve">21 of the 30 are founder aliases or test accounts. This is the real top of funnel.</t>
  </si>
  <si>
    <t xml:space="preserve">Active trials right now</t>
  </si>
  <si>
    <t xml:space="preserve">26 trials have already expired without a conversion path existing.</t>
  </si>
  <si>
    <t xml:space="preserve">WHAT IS ACTUALLY MOVING — the leading indicators</t>
  </si>
  <si>
    <t xml:space="preserve">Now</t>
  </si>
  <si>
    <t xml:space="preserve">60 days ago</t>
  </si>
  <si>
    <t xml:space="preserve">Why it matters</t>
  </si>
  <si>
    <t xml:space="preserve">Detail</t>
  </si>
  <si>
    <t xml:space="preserve">Organic keywords ranking (top 100)</t>
  </si>
  <si>
    <t xml:space="preserve">Fastest-moving real asset</t>
  </si>
  <si>
    <t xml:space="preserve">STRONG</t>
  </si>
  <si>
    <t xml:space="preserve">1 → 114 in eight weeks. This is the strongest number in the business.</t>
  </si>
  <si>
    <t xml:space="preserve">Est. monthly organic sessions</t>
  </si>
  <si>
    <t xml:space="preserve">Traffic follows keywords</t>
  </si>
  <si>
    <t xml:space="preserve">EARLY</t>
  </si>
  <si>
    <t xml:space="preserve">Still ~20/mo. Keywords are ranked but deep — position 23 on the big one.</t>
  </si>
  <si>
    <t xml:space="preserve">Proposals generated (v2_submissions)</t>
  </si>
  <si>
    <t xml:space="preserve">Proof the product runs</t>
  </si>
  <si>
    <t xml:space="preserve">30 real proposal runs. The product demonstrably works end to end.</t>
  </si>
  <si>
    <t xml:space="preserve">Anthropic API spend / mo</t>
  </si>
  <si>
    <t xml:space="preserve">Variable COGS</t>
  </si>
  <si>
    <t xml:space="preserve">LOW</t>
  </si>
  <si>
    <t xml:space="preserve">$26.75 in the heaviest month. COGS is not the constraint.</t>
  </si>
  <si>
    <t xml:space="preserve">Cold emails sent</t>
  </si>
  <si>
    <t xml:space="preserve">Channel not yet live</t>
  </si>
  <si>
    <t xml:space="preserve">NOT LIVE</t>
  </si>
  <si>
    <t xml:space="preserve">16 domains bought, 12 mailboxes warmed, 3 campaigns drafted, 0 sends.</t>
  </si>
  <si>
    <t xml:space="preserve">WHAT CANNOT BE MEASURED YET — and exactly what each one needs</t>
  </si>
  <si>
    <t xml:space="preserve">Blocked on</t>
  </si>
  <si>
    <t xml:space="preserve">First honest read available</t>
  </si>
  <si>
    <t xml:space="preserve">Trial → paid conversion %</t>
  </si>
  <si>
    <t xml:space="preserve">NOT YET MEASURABLE</t>
  </si>
  <si>
    <t xml:space="preserve">Stripe billing wired up + first trial cohort passed through it</t>
  </si>
  <si>
    <t xml:space="preserve">~30 days after billing ships</t>
  </si>
  <si>
    <t xml:space="preserve">Logo churn / gross MRR churn</t>
  </si>
  <si>
    <t xml:space="preserve">At least one paying cohort with 60+ days of history</t>
  </si>
  <si>
    <t xml:space="preserve">~90 days after first charge</t>
  </si>
  <si>
    <t xml:space="preserve">LTV</t>
  </si>
  <si>
    <t xml:space="preserve">A real churn rate. LTV = ARPA × GM% ÷ churn — churn is the input you do not have</t>
  </si>
  <si>
    <t xml:space="preserve">CAC (blended and per channel)</t>
  </si>
  <si>
    <t xml:space="preserve">Paid customers in the denominator. Spend is known; customers are 0</t>
  </si>
  <si>
    <t xml:space="preserve">First 5–10 customers</t>
  </si>
  <si>
    <t xml:space="preserve">LTV : CAC and CAC payback</t>
  </si>
  <si>
    <t xml:space="preserve">Both of the above</t>
  </si>
  <si>
    <t xml:space="preserve">~120 days after first charge</t>
  </si>
  <si>
    <t xml:space="preserve">Cold email reply / meeting rates</t>
  </si>
  <si>
    <t xml:space="preserve">Campaigns actually sending. Earliest defensible launch is 2026-08-27</t>
  </si>
  <si>
    <t xml:space="preserve">~2 weeks after launch</t>
  </si>
  <si>
    <t xml:space="preserve">THE THREE NUMBERS THAT UNLOCK THIS ENTIRE MODEL</t>
  </si>
  <si>
    <t xml:space="preserve">1.  Ship Stripe billing.</t>
  </si>
  <si>
    <t xml:space="preserve">Until a price ID exists, trial → paid is 0% by construction. Every unit-economic number in this workbook is blocked behind this one deploy.</t>
  </si>
  <si>
    <t xml:space="preserve">2.  Launch cold email on 2026-08-27.</t>
  </si>
  <si>
    <t xml:space="preserve">12 mailboxes × 15–30/day ≈ 5,400 sends/month at full ramp. At benchmark rates that is the first statistically real conversion data you will own.</t>
  </si>
  <si>
    <t xml:space="preserve">3.  Move 'govwin' from position 23 into the top 10.</t>
  </si>
  <si>
    <t xml:space="preserve">9,900 monthly searches, already ranked, already 70% of your organic traffic. Position 23 → 8 is roughly a 10–15× click multiple on one page.</t>
  </si>
  <si>
    <t xml:space="preserve">ACQUISITION FUNNEL — channel → visitor → signup → activated → engaged → paid</t>
  </si>
  <si>
    <t xml:space="preserve">Every stage with its conversion rate off the prior stage. All-time actuals, 2025-09-01 → 2026-08-13.</t>
  </si>
  <si>
    <t xml:space="preserve">Read this funnel top to bottom. The conversion column is the rate off the stage directly above it.</t>
  </si>
  <si>
    <t xml:space="preserve">WHOLE-BUSINESS FUNNEL (all channels, all time)</t>
  </si>
  <si>
    <t xml:space="preserve">Stage</t>
  </si>
  <si>
    <t xml:space="preserve">Definition</t>
  </si>
  <si>
    <t xml:space="preserve">Count</t>
  </si>
  <si>
    <t xml:space="preserve">Conv. from prior</t>
  </si>
  <si>
    <t xml:space="preserve">Benchmark</t>
  </si>
  <si>
    <t xml:space="preserve">Source</t>
  </si>
  <si>
    <t xml:space="preserve">Reach (impressions + emails sent)</t>
  </si>
  <si>
    <t xml:space="preserve">Everything that could have seen us</t>
  </si>
  <si>
    <t xml:space="preserve">NOT PULLED — export total impressions from Search Console and type them here</t>
  </si>
  <si>
    <t xml:space="preserve">Visitors (organic sessions)</t>
  </si>
  <si>
    <t xml:space="preserve">Landed on www.govhub.online</t>
  </si>
  <si>
    <t xml:space="preserve">0.5–2% of impressions</t>
  </si>
  <si>
    <t xml:space="preserve">Semrush est. sessions Jul+Aug 2026</t>
  </si>
  <si>
    <t xml:space="preserve">Signups (all accounts)</t>
  </si>
  <si>
    <t xml:space="preserve">Created an account</t>
  </si>
  <si>
    <t xml:space="preserve">0.5–2% of visitors</t>
  </si>
  <si>
    <t xml:space="preserve">Supabase user_profiles, deleted_at is null</t>
  </si>
  <si>
    <t xml:space="preserve">— of which external</t>
  </si>
  <si>
    <t xml:space="preserve">Not a founder alias or test account</t>
  </si>
  <si>
    <t xml:space="preserve">Email-domain classification of the 30</t>
  </si>
  <si>
    <t xml:space="preserve">Activated</t>
  </si>
  <si>
    <t xml:space="preserve">Completed onboarding</t>
  </si>
  <si>
    <t xml:space="preserve">40–60% of signups</t>
  </si>
  <si>
    <t xml:space="preserve">user_profiles.onboarding_completed = true</t>
  </si>
  <si>
    <t xml:space="preserve">Engaged</t>
  </si>
  <si>
    <t xml:space="preserve">Ran ≥1 real proposal (v2_submissions)</t>
  </si>
  <si>
    <t xml:space="preserve">v2_submissions, 2026-05 → 2026-08. Runs, not users.</t>
  </si>
  <si>
    <t xml:space="preserve">Paid</t>
  </si>
  <si>
    <t xml:space="preserve">Has a Stripe subscription</t>
  </si>
  <si>
    <t xml:space="preserve">10–25% of trials</t>
  </si>
  <si>
    <t xml:space="preserve">Supabase subscriptions: 0 rows with a stripe_subscription_id</t>
  </si>
  <si>
    <t xml:space="preserve">Overall visitor → paid</t>
  </si>
  <si>
    <t xml:space="preserve">Undefined in practice — numerator is 0 because billing does not exist yet.</t>
  </si>
  <si>
    <t xml:space="preserve">BY CHANNEL — where the 30 signups actually came from</t>
  </si>
  <si>
    <t xml:space="preserve">Channel</t>
  </si>
  <si>
    <t xml:space="preserve">Reach</t>
  </si>
  <si>
    <t xml:space="preserve">Visitors</t>
  </si>
  <si>
    <t xml:space="preserve">Signups</t>
  </si>
  <si>
    <t xml:space="preserve">Signup→Paid</t>
  </si>
  <si>
    <t xml:space="preserve">Note</t>
  </si>
  <si>
    <t xml:space="preserve">SEO / organic</t>
  </si>
  <si>
    <t xml:space="preserve">LIVE, EARLY</t>
  </si>
  <si>
    <t xml:space="preserve">signup_source='google' first appears 2026-07. Exactly 1 attributable organic signup.</t>
  </si>
  <si>
    <t xml:space="preserve">Cold email (Instantly)</t>
  </si>
  <si>
    <t xml:space="preserve">NOT LAUNCHED</t>
  </si>
  <si>
    <t xml:space="preserve">3 campaigns in Draft, 0 leads, 0 sends. Earliest defensible launch 2026-08-27.</t>
  </si>
  <si>
    <t xml:space="preserve">Vendor / PR outreach (Resend)</t>
  </si>
  <si>
    <t xml:space="preserve">LIVE</t>
  </si>
  <si>
    <t xml:space="preserve">48 vendor emails sent Jul–Aug. No reply/click tracking wired up — see gap below.</t>
  </si>
  <si>
    <t xml:space="preserve">Direct / manual / founder-led</t>
  </si>
  <si>
    <t xml:space="preserve">signup_source='manual'. Includes all 21 internal/test accounts and 8 external hand-sourced signups.</t>
  </si>
  <si>
    <t xml:space="preserve">TOTAL</t>
  </si>
  <si>
    <t xml:space="preserve">TRIAL MECHANICS — what happened to the 30 trials</t>
  </si>
  <si>
    <t xml:space="preserve">% of trials</t>
  </si>
  <si>
    <t xml:space="preserve">Trials started (all-time)</t>
  </si>
  <si>
    <t xml:space="preserve">First 2025-10-19, most recent 2026-08-11. accounts.trial_start</t>
  </si>
  <si>
    <t xml:space="preserve">Trials expired</t>
  </si>
  <si>
    <t xml:space="preserve">trial_end &lt;= now(). Every one of these expired with no way to pay.</t>
  </si>
  <si>
    <t xml:space="preserve">Trials active right now</t>
  </si>
  <si>
    <t xml:space="preserve">trial_end &gt; now()</t>
  </si>
  <si>
    <t xml:space="preserve">Trials converted to paid</t>
  </si>
  <si>
    <t xml:space="preserve">Zero. There is no Stripe price ID to convert against.</t>
  </si>
  <si>
    <t xml:space="preserve">MONTHLY TREND — signups, activation and product usage</t>
  </si>
  <si>
    <t xml:space="preserve">Sep-25</t>
  </si>
  <si>
    <t xml:space="preserve">Oct-25</t>
  </si>
  <si>
    <t xml:space="preserve">Nov-25</t>
  </si>
  <si>
    <t xml:space="preserve">Dec-25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</si>
  <si>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</si>
  <si>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</si>
  <si>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</si>
  <si>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</si>
  <si>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</si>
  <si>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</si>
  <si>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</si>
  <si>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</si>
  <si>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TOTAL / NOW</t>
  </si>
  <si>
    <t xml:space="preserve">Signups (all)</t>
  </si>
  <si>
    <t xml:space="preserve">Supabase user_profiles</t>
  </si>
  <si>
    <t xml:space="preserve">Signups — external</t>
  </si>
  <si>
    <t xml:space="preserve">Non-founder / non-test email</t>
  </si>
  <si>
    <t xml:space="preserve">Signups — internal / test</t>
  </si>
  <si>
    <t xml:space="preserve">Founder aliases + QA accounts</t>
  </si>
  <si>
    <t xml:space="preserve">Activated (onboarding complete)</t>
  </si>
  <si>
    <t xml:space="preserve">user_profiles.onboarding_completed</t>
  </si>
  <si>
    <t xml:space="preserve">Activation rate</t>
  </si>
  <si>
    <t xml:space="preserve">Activated ÷ all signups</t>
  </si>
  <si>
    <t xml:space="preserve">Proposals generated</t>
  </si>
  <si>
    <t xml:space="preserve">v2_submissions (runs, not users)</t>
  </si>
  <si>
    <t xml:space="preserve">Lifecycle emails sent</t>
  </si>
  <si>
    <t xml:space="preserve">scheduled_emails status='sent'</t>
  </si>
  <si>
    <t xml:space="preserve">Paying customers (ending)</t>
  </si>
  <si>
    <t xml:space="preserve">Supabase subscriptions w/ Stripe id</t>
  </si>
  <si>
    <t xml:space="preserve">SCENARIO CALCULATOR — conversion rates, pricing, CAC, CLTV</t>
  </si>
  <si>
    <t xml:space="preserve">Change any BLUE cell. Everything black recalculates. Yellow = the levers worth arguing about with an investor.</t>
  </si>
  <si>
    <t xml:space="preserve">1 · PRICING &amp; MIX</t>
  </si>
  <si>
    <t xml:space="preserve">Solo price ($/mo)</t>
  </si>
  <si>
    <t xml:space="preserve">Live price in plans table</t>
  </si>
  <si>
    <t xml:space="preserve">Pro price ($/mo)</t>
  </si>
  <si>
    <t xml:space="preserve">Team price ($/mo)</t>
  </si>
  <si>
    <t xml:space="preserve">Mix — Solo %</t>
  </si>
  <si>
    <t xml:space="preserve">Assumption: SMB-heavy govcon ICP</t>
  </si>
  <si>
    <t xml:space="preserve">Mix — Pro %</t>
  </si>
  <si>
    <t xml:space="preserve">Mix — Team %</t>
  </si>
  <si>
    <t xml:space="preserve">Mix check (must = 100%)</t>
  </si>
  <si>
    <t xml:space="preserve">Blended ARPA ($/mo)</t>
  </si>
  <si>
    <t xml:space="preserve">Weighted average revenue per account</t>
  </si>
  <si>
    <t xml:space="preserve">Annual-plan share of new customers %</t>
  </si>
  <si>
    <t xml:space="preserve">Annual = 10× monthly in the plans table (2 months free)</t>
  </si>
  <si>
    <t xml:space="preserve">Annual discount (implied)</t>
  </si>
  <si>
    <t xml:space="preserve">1 - 10/12</t>
  </si>
  <si>
    <t xml:space="preserve">Effective ARPA after annual discount</t>
  </si>
  <si>
    <t xml:space="preserve">This is the ARPA used everywhere below</t>
  </si>
  <si>
    <t xml:space="preserve">2 · FUNNEL — SEO / ORGANIC</t>
  </si>
  <si>
    <t xml:space="preserve">Monthly organic sessions</t>
  </si>
  <si>
    <t xml:space="preserve">Actual Jul+Aug 2026 (Semrush est.)</t>
  </si>
  <si>
    <t xml:space="preserve">Session → signup %</t>
  </si>
  <si>
    <t xml:space="preserve">Benchmark 0.5–2%; you are early and low-traffic</t>
  </si>
  <si>
    <t xml:space="preserve">Signup → activated %</t>
  </si>
  <si>
    <t xml:space="preserve">Actual all-time: 70% (21/30)</t>
  </si>
  <si>
    <t xml:space="preserve">Activated → paid %</t>
  </si>
  <si>
    <t xml:space="preserve">ASSUMPTION — no actual exists. Benchmark 10–25%</t>
  </si>
  <si>
    <t xml:space="preserve">→ Signups / mo</t>
  </si>
  <si>
    <t xml:space="preserve">→ Activated / mo</t>
  </si>
  <si>
    <t xml:space="preserve">→ New customers / mo (SEO)</t>
  </si>
  <si>
    <t xml:space="preserve">3 · FUNNEL — COLD EMAIL</t>
  </si>
  <si>
    <t xml:space="preserve">Mailboxes sending</t>
  </si>
  <si>
    <t xml:space="preserve">Wave 1: 12 mailboxes across 12 domains</t>
  </si>
  <si>
    <t xml:space="preserve">Sends per mailbox per day</t>
  </si>
  <si>
    <t xml:space="preserve">Instantly daily cap; 50–100 only after months of history</t>
  </si>
  <si>
    <t xml:space="preserve">Sending days per month</t>
  </si>
  <si>
    <t xml:space="preserve">Weekdays only</t>
  </si>
  <si>
    <t xml:space="preserve">→ Emails sent / mo</t>
  </si>
  <si>
    <t xml:space="preserve">Bounce rate %</t>
  </si>
  <si>
    <t xml:space="preserve">Keep &lt;2% — MillionVerifier is the control here</t>
  </si>
  <si>
    <t xml:space="preserve">→ Delivered / mo</t>
  </si>
  <si>
    <t xml:space="preserve">Reply rate % (of delivered)</t>
  </si>
  <si>
    <t xml:space="preserve">2026 industry avg ~3.4%</t>
  </si>
  <si>
    <t xml:space="preserve">Positive share of replies %</t>
  </si>
  <si>
    <t xml:space="preserve">Rest are 'remove me' / not-now</t>
  </si>
  <si>
    <t xml:space="preserve">Positive reply → meeting %</t>
  </si>
  <si>
    <t xml:space="preserve">Meeting → trial %</t>
  </si>
  <si>
    <t xml:space="preserve">Trial → paid % (email)</t>
  </si>
  <si>
    <t xml:space="preserve">Higher intent than organic — they spoke to you</t>
  </si>
  <si>
    <t xml:space="preserve">→ Replies / mo</t>
  </si>
  <si>
    <t xml:space="preserve">→ Positive replies / mo</t>
  </si>
  <si>
    <t xml:space="preserve">→ Meetings / mo</t>
  </si>
  <si>
    <t xml:space="preserve">→ Trials / mo</t>
  </si>
  <si>
    <t xml:space="preserve">→ New customers / mo (email)</t>
  </si>
  <si>
    <t xml:space="preserve">4 · FUNNEL — DIRECT / REFERRAL / FOUNDER-LED</t>
  </si>
  <si>
    <t xml:space="preserve">Direct signups / mo</t>
  </si>
  <si>
    <t xml:space="preserve">Hand-sourced, demos, network</t>
  </si>
  <si>
    <t xml:space="preserve">Trial → paid % (direct)</t>
  </si>
  <si>
    <t xml:space="preserve">Warmest channel</t>
  </si>
  <si>
    <t xml:space="preserve">→ New customers / mo (direct)</t>
  </si>
  <si>
    <t xml:space="preserve">5 · RETENTION, MARGIN &amp; SPEND</t>
  </si>
  <si>
    <t xml:space="preserve">Monthly logo churn %</t>
  </si>
  <si>
    <t xml:space="preserve">SMB SaaS 3–7%. THE most sensitive lever in the model</t>
  </si>
  <si>
    <t xml:space="preserve">Monthly expansion %</t>
  </si>
  <si>
    <t xml:space="preserve">Solo→Pro upgrades, Team seats</t>
  </si>
  <si>
    <t xml:space="preserve">Gross margin %</t>
  </si>
  <si>
    <t xml:space="preserve">API cost is tiny — $26.75 in your heaviest month</t>
  </si>
  <si>
    <t xml:space="preserve">SEO spend / mo (cash)</t>
  </si>
  <si>
    <t xml:space="preserve">Content is produced in-house — no cash cost today</t>
  </si>
  <si>
    <t xml:space="preserve">Cold email spend / mo (cash)</t>
  </si>
  <si>
    <t xml:space="preserve">Live link → Expenses marketing subtotal</t>
  </si>
  <si>
    <t xml:space="preserve">Other S&amp;M spend / mo (cash)</t>
  </si>
  <si>
    <t xml:space="preserve">Paid ads, events</t>
  </si>
  <si>
    <t xml:space="preserve">Founder / labour cost allocated to S&amp;M</t>
  </si>
  <si>
    <t xml:space="preserve">⚠ THE ASSUMPTION THAT MAKES CAC CREDIBLE — see note below</t>
  </si>
  <si>
    <t xml:space="preserve">⚠  WHY THIS CELL IS NOT ZERO</t>
  </si>
  <si>
    <t xml:space="preserve">Default is $5,000/mo ≈ 50% of a $120k/yr founder comp, charged to sales &amp; marketing. Set it to $0 and CAC collapses to the software bill alone, producing an LTV:CAC around 65x — a number no investor will believe and you should never present. Imputing your own time is what makes the CAC on this tab defensible in a diligence conversation.</t>
  </si>
  <si>
    <t xml:space="preserve">6 · OUTPUTS — the numbers an investor will ask for</t>
  </si>
  <si>
    <t xml:space="preserve">How it is calculated</t>
  </si>
  <si>
    <t xml:space="preserve">New customers / mo (all channels)</t>
  </si>
  <si>
    <t xml:space="preserve">SEO + cold email + direct</t>
  </si>
  <si>
    <t xml:space="preserve">New MRR added / mo</t>
  </si>
  <si>
    <t xml:space="preserve">New customers × effective ARPA</t>
  </si>
  <si>
    <t xml:space="preserve">Total S&amp;M spend / mo (fully loaded)</t>
  </si>
  <si>
    <t xml:space="preserve">SEO + email + other + founder/labour time</t>
  </si>
  <si>
    <t xml:space="preserve">Blended CAC</t>
  </si>
  <si>
    <t xml:space="preserve">Judge only against LTV</t>
  </si>
  <si>
    <t xml:space="preserve">Total S&amp;M ÷ new customers</t>
  </si>
  <si>
    <t xml:space="preserve">SEO CAC (cash only)</t>
  </si>
  <si>
    <t xml:space="preserve">SEO cash spend ÷ SEO customers. Excludes your time.</t>
  </si>
  <si>
    <t xml:space="preserve">Cold email CAC (cash only)</t>
  </si>
  <si>
    <t xml:space="preserve">Email cash spend ÷ email customers. Excludes your time.</t>
  </si>
  <si>
    <t xml:space="preserve">LTV (gross-margin adjusted)</t>
  </si>
  <si>
    <t xml:space="preserve">ARPA × GM% ÷ monthly churn  (Skok)</t>
  </si>
  <si>
    <t xml:space="preserve">LTV : CAC</t>
  </si>
  <si>
    <t xml:space="preserve">≥3x healthy, 5x+ strong</t>
  </si>
  <si>
    <t xml:space="preserve">LTV ÷ blended CAC</t>
  </si>
  <si>
    <t xml:space="preserve">CAC payback (months)</t>
  </si>
  <si>
    <t xml:space="preserve">≤12 months</t>
  </si>
  <si>
    <t xml:space="preserve">CAC ÷ (ARPA × GM%)</t>
  </si>
  <si>
    <t xml:space="preserve">Steady-state MRR ceiling</t>
  </si>
  <si>
    <t xml:space="preserve">New MRR ÷ churn. The MRR this engine converges to and CANNOT exceed.</t>
  </si>
  <si>
    <t xml:space="preserve">Months to $10k MRR</t>
  </si>
  <si>
    <t xml:space="preserve">Solved from the churn-adjusted MRR curve. 'never' means the ceiling above is below $10k.</t>
  </si>
  <si>
    <t xml:space="preserve">Months to cover total cost</t>
  </si>
  <si>
    <t xml:space="preserve">Month at which gross profit covers Expenses cash burn PLUS the founder/labour cost above.</t>
  </si>
  <si>
    <t xml:space="preserve">7 · SENSITIVITY — where the model actually breaks</t>
  </si>
  <si>
    <t xml:space="preserve">A ·  LTV  —  rows = monthly churn, columns = blended ARPA</t>
  </si>
  <si>
    <t xml:space="preserve">monthly churn ↓ / ARPA →</t>
  </si>
  <si>
    <t xml:space="preserve">B ·  LTV : CAC  —  rows = monthly churn, columns = blended ARPA (at current blended CAC)</t>
  </si>
  <si>
    <t xml:space="preserve">C ·  NEW CUSTOMERS / MONTH  —  rows = trial→paid %, columns = qualified trials / month</t>
  </si>
  <si>
    <t xml:space="preserve">trial→paid ↓ / trials →</t>
  </si>
  <si>
    <t xml:space="preserve">D ·  MONTHS TO $10,000 MRR  —  rows = new customers/mo, columns = blended ARPA (at current churn)</t>
  </si>
  <si>
    <t xml:space="preserve">new cust/mo ↓ / ARPA →</t>
  </si>
  <si>
    <t xml:space="preserve">"never" = at that combination the steady-state ceiling (new MRR ÷ churn) is below $10k. Churn, not acquisition, is what caps you.</t>
  </si>
  <si>
    <t xml:space="preserve">REVENUE &amp; CUSTOMERS — actuals</t>
  </si>
  <si>
    <t xml:space="preserve">All zeros, and that is the correct number. 0 rows in subscriptions carry a stripe_subscription_id.</t>
  </si>
  <si>
    <t xml:space="preserve">Prices below are live values from the Supabase plans table, read 2026-08-13.</t>
  </si>
  <si>
    <t xml:space="preserve">PRICE LIST (source: plans table)</t>
  </si>
  <si>
    <t xml:space="preserve">Trial</t>
  </si>
  <si>
    <t xml:space="preserve">$0/mo · $0/yr · 3 proposals/mo</t>
  </si>
  <si>
    <t xml:space="preserve">stripe_price_id: NULL — cannot be charged</t>
  </si>
  <si>
    <t xml:space="preserve">Solo</t>
  </si>
  <si>
    <t xml:space="preserve">$129/mo · $1290/yr · 3 proposals/mo</t>
  </si>
  <si>
    <t xml:space="preserve">Pro</t>
  </si>
  <si>
    <t xml:space="preserve">$349/mo · $3490/yr · 15 proposals/mo</t>
  </si>
  <si>
    <t xml:space="preserve">Team</t>
  </si>
  <si>
    <t xml:space="preserve">$699/mo · $6990/yr · 50 proposals/mo</t>
  </si>
  <si>
    <t xml:space="preserve">CUSTOMER MOVEMENT</t>
  </si>
  <si>
    <t xml:space="preserve">New customers</t>
  </si>
  <si>
    <t xml:space="preserve">Supabase subscriptions</t>
  </si>
  <si>
    <t xml:space="preserve">Churned customers</t>
  </si>
  <si>
    <t xml:space="preserve">Ending customers</t>
  </si>
  <si>
    <t xml:space="preserve">Cumulative</t>
  </si>
  <si>
    <t xml:space="preserve">MRR WATERFALL</t>
  </si>
  <si>
    <t xml:space="preserve">Beginning MRR</t>
  </si>
  <si>
    <t xml:space="preserve">New business MRR</t>
  </si>
  <si>
    <t xml:space="preserve">Stripe</t>
  </si>
  <si>
    <t xml:space="preserve">Expansion MRR</t>
  </si>
  <si>
    <t xml:space="preserve">Contraction MRR</t>
  </si>
  <si>
    <t xml:space="preserve">Churned MRR</t>
  </si>
  <si>
    <t xml:space="preserve">Net new MRR</t>
  </si>
  <si>
    <t xml:space="preserve">Ending MRR</t>
  </si>
  <si>
    <t xml:space="preserve">Ending MRR × 12</t>
  </si>
  <si>
    <t xml:space="preserve">When the first charge lands, overwrite these rows from the Stripe dashboard. Every ratio in this workbook that currently reads 0 or 'never' will start returning a real number.</t>
  </si>
  <si>
    <t xml:space="preserve">MARKETING — SEO / ORGANIC  (real data)</t>
  </si>
  <si>
    <t xml:space="preserve">Sources: Semrush us database (pulled 2026-08-13) and Google Search Console (property verified 2026-06-20).</t>
  </si>
  <si>
    <t xml:space="preserve">VISIBILITY</t>
  </si>
  <si>
    <t xml:space="preserve">Organic keywords (top 100)</t>
  </si>
  <si>
    <t xml:space="preserve">Semrush resource_rank_history</t>
  </si>
  <si>
    <t xml:space="preserve">Est. organic sessions / mo</t>
  </si>
  <si>
    <t xml:space="preserve">Semrush organic traffic estimate</t>
  </si>
  <si>
    <t xml:space="preserve">GSC clicks (28-day trailing)</t>
  </si>
  <si>
    <t xml:space="preserve">GSC milestone notifications — fill monthly</t>
  </si>
  <si>
    <t xml:space="preserve">Est. traffic value ($/mo)</t>
  </si>
  <si>
    <t xml:space="preserve">Semrush organic cost</t>
  </si>
  <si>
    <t xml:space="preserve">Semrush shows 1 keyword and 0 traffic every month from Dec-25 to Jun-26. The site went from 1 → 90 keywords in July and 90 → 114 in August. That inflection is real and it is the best number in this workbook.</t>
  </si>
  <si>
    <t xml:space="preserve">TOP ORGANIC KEYWORDS (Semrush, 2026-08-13)</t>
  </si>
  <si>
    <t xml:space="preserve">Keyword</t>
  </si>
  <si>
    <t xml:space="preserve">Position</t>
  </si>
  <si>
    <t xml:space="preserve">Volume</t>
  </si>
  <si>
    <t xml:space="preserve">CPC</t>
  </si>
  <si>
    <t xml:space="preserve">% of traffic</t>
  </si>
  <si>
    <t xml:space="preserve">Landing page</t>
  </si>
  <si>
    <t xml:space="preserve">govwin</t>
  </si>
  <si>
    <t xml:space="preserve">/vs/govwin-iq/</t>
  </si>
  <si>
    <t xml:space="preserve">gov hub</t>
  </si>
  <si>
    <t xml:space="preserve">/</t>
  </si>
  <si>
    <t xml:space="preserve">govwin iq pricing</t>
  </si>
  <si>
    <t xml:space="preserve">responsive io alternative</t>
  </si>
  <si>
    <t xml:space="preserve">/alternatives/responsive/</t>
  </si>
  <si>
    <t xml:space="preserve">what does idiq stand for in government contracting</t>
  </si>
  <si>
    <t xml:space="preserve">/glossary/idiq/</t>
  </si>
  <si>
    <t xml:space="preserve">cage number sam gov</t>
  </si>
  <si>
    <t xml:space="preserve">/glossary/cage-code/</t>
  </si>
  <si>
    <t xml:space="preserve">govtribe pricing</t>
  </si>
  <si>
    <t xml:space="preserve">/pricing/</t>
  </si>
  <si>
    <t xml:space="preserve">govwin subscription cost</t>
  </si>
  <si>
    <t xml:space="preserve">rfp</t>
  </si>
  <si>
    <t xml:space="preserve">/glossary/rfp/</t>
  </si>
  <si>
    <t xml:space="preserve">how to write a government proposal</t>
  </si>
  <si>
    <t xml:space="preserve">/blog/how-to-write-a-government-proposal/</t>
  </si>
  <si>
    <t xml:space="preserve">THE SINGLE HIGHEST-LEVERAGE SEO FACT IN THIS FILE</t>
  </si>
  <si>
    <t xml:space="preserve">'govwin' — 9,900 searches/month, $12.59 CPC — is ranked at position 23 and already produces 70% of your organic traffic from page 3. Position 23 → 8 is roughly a 10–15× click multiple on that one page. Nothing else on this tab is worth doing first.</t>
  </si>
  <si>
    <t xml:space="preserve">ORGANIC FUNNEL &amp; COST</t>
  </si>
  <si>
    <t xml:space="preserve">Source / note</t>
  </si>
  <si>
    <t xml:space="preserve">Organic signups</t>
  </si>
  <si>
    <t xml:space="preserve">user_profiles.signup_source='google'</t>
  </si>
  <si>
    <t xml:space="preserve">Organic new customers</t>
  </si>
  <si>
    <t xml:space="preserve">SEO spend ($)</t>
  </si>
  <si>
    <t xml:space="preserve">Content produced in-house — no cash cost booked</t>
  </si>
  <si>
    <t xml:space="preserve">Signups ÷ est. sessions</t>
  </si>
  <si>
    <t xml:space="preserve">MARKETING — COLD EMAIL  (built, not launched)</t>
  </si>
  <si>
    <t xml:space="preserve">Source: govhub-marketing/docs/instantly-wave1.md, campaign state 2026-08-12. Zero emails have been sent.</t>
  </si>
  <si>
    <t xml:space="preserve">STATUS: 3 campaigns created 2026-08-12, all in Draft with zero leads. Nothing sends until leads are uploaded and campaigns started.</t>
  </si>
  <si>
    <t xml:space="preserve">ACTUALS</t>
  </si>
  <si>
    <t xml:space="preserve">Instantly — campaigns in Draft</t>
  </si>
  <si>
    <t xml:space="preserve">Replies</t>
  </si>
  <si>
    <t xml:space="preserve">n/a — nothing sent</t>
  </si>
  <si>
    <t xml:space="preserve">Meetings booked</t>
  </si>
  <si>
    <t xml:space="preserve">New customers from cold email</t>
  </si>
  <si>
    <t xml:space="preserve">Sending domains owned</t>
  </si>
  <si>
    <t xml:space="preserve">16 purchased 2026-08-06</t>
  </si>
  <si>
    <t xml:space="preserve">Mailboxes warmed (wave 1)</t>
  </si>
  <si>
    <t xml:space="preserve">12 live, warmup score 100</t>
  </si>
  <si>
    <t xml:space="preserve">SEPARATE MOTION — vendor / PR outreach via Resend (this one IS sending)</t>
  </si>
  <si>
    <t xml:space="preserve">Vendor outreach emails sent</t>
  </si>
  <si>
    <t xml:space="preserve">govhub-marketing/data/vendor-outreach.json</t>
  </si>
  <si>
    <t xml:space="preserve">48 vendor emails have gone out (43 of 91 ledger rows have no contact found). There is no open, click or reply tracking on this motion — so its contribution to the funnel is currently unmeasurable. Wiring Resend webhooks into the email_events table (0 rows today) would fix that cheaply.</t>
  </si>
  <si>
    <t xml:space="preserve">LAUNCH READINESS</t>
  </si>
  <si>
    <t xml:space="preserve">Item</t>
  </si>
  <si>
    <t xml:space="preserve">State</t>
  </si>
  <si>
    <t xml:space="preserve">Domains purchased</t>
  </si>
  <si>
    <t xml:space="preserve">16 (2026-08-06)</t>
  </si>
  <si>
    <t xml:space="preserve">$141 first year, $10/yr each on renewal</t>
  </si>
  <si>
    <t xml:space="preserve">Mailboxes warmed</t>
  </si>
  <si>
    <t xml:space="preserve">12, warmup score 100</t>
  </si>
  <si>
    <t xml:space="preserve">~54 warmup emails each — that is not a sending history</t>
  </si>
  <si>
    <t xml:space="preserve">Campaigns built</t>
  </si>
  <si>
    <t xml:space="preserve">3 (A serial_bidder, B new_prime, C registered_no_awards)</t>
  </si>
  <si>
    <t xml:space="preserve">All Draft, 0 leads</t>
  </si>
  <si>
    <t xml:space="preserve">Leads uploaded</t>
  </si>
  <si>
    <t xml:space="preserve">0</t>
  </si>
  <si>
    <t xml:space="preserve">THE BLOCKER — nothing sends without these</t>
  </si>
  <si>
    <t xml:space="preserve">Earliest defensible launch</t>
  </si>
  <si>
    <t xml:space="preserve">2026-08-27</t>
  </si>
  <si>
    <t xml:space="preserve">Day 21 from domain creation. Day 30 (2026-09-05) is safer</t>
  </si>
  <si>
    <t xml:space="preserve">Schedule backstop</t>
  </si>
  <si>
    <t xml:space="preserve">start_date 2026-08-27</t>
  </si>
  <si>
    <t xml:space="preserve">An accidental activation still sends nothing before this date</t>
  </si>
  <si>
    <t xml:space="preserve">CAPACITY MODEL — what this engine produces once it is running</t>
  </si>
  <si>
    <t xml:space="preserve">Live from the Calculator tab. Change the levers there, not here.</t>
  </si>
  <si>
    <t xml:space="preserve">Per month</t>
  </si>
  <si>
    <t xml:space="preserve">Rate used</t>
  </si>
  <si>
    <t xml:space="preserve">Emails sent</t>
  </si>
  <si>
    <t xml:space="preserve">Delivered</t>
  </si>
  <si>
    <t xml:space="preserve">Positive replies</t>
  </si>
  <si>
    <t xml:space="preserve">Meetings</t>
  </si>
  <si>
    <t xml:space="preserve">Trials</t>
  </si>
  <si>
    <t xml:space="preserve">EXPENSES — cost stack, run-rate and burn</t>
  </si>
  <si>
    <t xml:space="preserve">Cost stack provided by the founder 2026-08-13. Anthropic API is real spend from v2_token_usage.</t>
  </si>
  <si>
    <t xml:space="preserve">THE COST STACK — current run-rate</t>
  </si>
  <si>
    <t xml:space="preserve">Vendor / item</t>
  </si>
  <si>
    <t xml:space="preserve">Billing</t>
  </si>
  <si>
    <t xml:space="preserve">$ / month</t>
  </si>
  <si>
    <t xml:space="preserve">$ / year</t>
  </si>
  <si>
    <t xml:space="preserve">Category</t>
  </si>
  <si>
    <t xml:space="preserve">Claude (subscription)</t>
  </si>
  <si>
    <t xml:space="preserve">$100.00 / month</t>
  </si>
  <si>
    <t xml:space="preserve">Operational</t>
  </si>
  <si>
    <t xml:space="preserve">Fixed</t>
  </si>
  <si>
    <t xml:space="preserve">Founder-provided</t>
  </si>
  <si>
    <t xml:space="preserve">Anthropic API</t>
  </si>
  <si>
    <t xml:space="preserve">usage-based</t>
  </si>
  <si>
    <t xml:space="preserve">Variable</t>
  </si>
  <si>
    <t xml:space="preserve">Actual: $0.19 Jun · $26.75 Jul · $7.90 Aug MTD. Cell links to the trailing month.</t>
  </si>
  <si>
    <t xml:space="preserve">OpenAI / ChatGPT API</t>
  </si>
  <si>
    <t xml:space="preserve">Founder-provided as variable. No spend figure supplied — enter actuals here.</t>
  </si>
  <si>
    <t xml:space="preserve">Resend</t>
  </si>
  <si>
    <t xml:space="preserve">$20.00 / month</t>
  </si>
  <si>
    <t xml:space="preserve">Cloudflare</t>
  </si>
  <si>
    <t xml:space="preserve">$5.00 / month</t>
  </si>
  <si>
    <t xml:space="preserve">govhub.online (main domain)</t>
  </si>
  <si>
    <t xml:space="preserve">$40.00 / year</t>
  </si>
  <si>
    <t xml:space="preserve">Annual</t>
  </si>
  <si>
    <t xml:space="preserve">Renews 9/26 every year. Monthly figure is the $40 amortised.</t>
  </si>
  <si>
    <t xml:space="preserve">Supabase</t>
  </si>
  <si>
    <t xml:space="preserve">unknown</t>
  </si>
  <si>
    <t xml:space="preserve">OPEN ITEM</t>
  </si>
  <si>
    <t xml:space="preserve">NOT in the founder's cost list, but GovProp is ACTIVE_HEALTHY in production. Confirm tier.</t>
  </si>
  <si>
    <t xml:space="preserve">Subtotal — Operational</t>
  </si>
  <si>
    <t xml:space="preserve">Postiz</t>
  </si>
  <si>
    <t xml:space="preserve">$29.00 / month</t>
  </si>
  <si>
    <t xml:space="preserve">Marketing</t>
  </si>
  <si>
    <t xml:space="preserve">Instantly.ai</t>
  </si>
  <si>
    <t xml:space="preserve">$99.00 / month</t>
  </si>
  <si>
    <t xml:space="preserve">Apollo</t>
  </si>
  <si>
    <t xml:space="preserve">$59.00 / month</t>
  </si>
  <si>
    <t xml:space="preserve">Founder-provided. May drop to $0 or rise to $159 — see scenario note below.</t>
  </si>
  <si>
    <t xml:space="preserve">MillionVerifier</t>
  </si>
  <si>
    <t xml:space="preserve">Cold email domains (16)</t>
  </si>
  <si>
    <t xml:space="preserve">$141.00 first year</t>
  </si>
  <si>
    <t xml:space="preserve">$141 year 1 (bought 2026-08-06); renews at $10.00/yr each = $160.00/yr.</t>
  </si>
  <si>
    <t xml:space="preserve">Subtotal — Marketing</t>
  </si>
  <si>
    <t xml:space="preserve">TOTAL MONTHLY BURN (run-rate)</t>
  </si>
  <si>
    <t xml:space="preserve">Operational + Marketing. Anthropic API is already inside the Operational subtotal at the trailing month's actual — it is not added again here.</t>
  </si>
  <si>
    <t xml:space="preserve">Cash cost excluding founder time</t>
  </si>
  <si>
    <t xml:space="preserve">No salary, contractor or founder-time cost is booked anywhere in this workbook. See the CAC warning on the Calculator tab before quoting any CAC or LTV:CAC number.</t>
  </si>
  <si>
    <t xml:space="preserve">ANNUAL RENEWAL CALENDAR</t>
  </si>
  <si>
    <t xml:space="preserve">Amount</t>
  </si>
  <si>
    <t xml:space="preserve">Next due</t>
  </si>
  <si>
    <t xml:space="preserve">Then</t>
  </si>
  <si>
    <t xml:space="preserve">govhub.online</t>
  </si>
  <si>
    <t xml:space="preserve">2026-09-26</t>
  </si>
  <si>
    <t xml:space="preserve">$40.00 every 9/26</t>
  </si>
  <si>
    <t xml:space="preserve">Main product domain</t>
  </si>
  <si>
    <t xml:space="preserve">16 cold email domains</t>
  </si>
  <si>
    <t xml:space="preserve">2027-08-06</t>
  </si>
  <si>
    <t xml:space="preserve">$160.00/yr</t>
  </si>
  <si>
    <t xml:space="preserve">$141.00 was the year-1 promo; renewal is $10.00 × 16</t>
  </si>
  <si>
    <t xml:space="preserve">APOLLO SCENARIO — the one cost line you flagged as uncertain</t>
  </si>
  <si>
    <t xml:space="preserve">Scenario</t>
  </si>
  <si>
    <t xml:space="preserve">Apollo $/mo</t>
  </si>
  <si>
    <t xml:space="preserve">Total burn $/mo</t>
  </si>
  <si>
    <t xml:space="preserve">Δ vs today</t>
  </si>
  <si>
    <t xml:space="preserve">Today (as instructed)</t>
  </si>
  <si>
    <t xml:space="preserve">Current run-rate</t>
  </si>
  <si>
    <t xml:space="preserve">Apollo dropped</t>
  </si>
  <si>
    <t xml:space="preserve">You find a cheaper email-finding source</t>
  </si>
  <si>
    <t xml:space="preserve">Apollo +$100</t>
  </si>
  <si>
    <t xml:space="preserve">No alternative found, tier upgrade required</t>
  </si>
  <si>
    <t xml:space="preserve">MONTHLY ACTUALS</t>
  </si>
  <si>
    <t xml:space="preserve">Only Anthropic API has a queried actual per month. The subscription rows are seeded at the current run-rate for Aug-26 — fill earlier months from card statements if you want a true historical burn.</t>
  </si>
  <si>
    <t xml:space="preserve">Cost line</t>
  </si>
  <si>
    <t xml:space="preserve">v2_token_usage.est_cost_usd</t>
  </si>
  <si>
    <t xml:space="preserve">Claude subscription</t>
  </si>
  <si>
    <t xml:space="preserve">Founder-provided run-rate</t>
  </si>
  <si>
    <t xml:space="preserve">Domains (16 cold email)</t>
  </si>
  <si>
    <t xml:space="preserve">Purchased 2026-08-06</t>
  </si>
  <si>
    <t xml:space="preserve">Domain (govhub.online)</t>
  </si>
  <si>
    <t xml:space="preserve">Renews 9/26</t>
  </si>
  <si>
    <t xml:space="preserve">UNIT ECONOMICS</t>
  </si>
  <si>
    <t xml:space="preserve">Nearly every number here is blocked on the same thing: a first paying customer. This tab says so explicitly.</t>
  </si>
  <si>
    <t xml:space="preserve">Actual today</t>
  </si>
  <si>
    <t xml:space="preserve">At Calculator's assumptions</t>
  </si>
  <si>
    <t xml:space="preserve">What it needs to become real</t>
  </si>
  <si>
    <t xml:space="preserve">New customers / mo</t>
  </si>
  <si>
    <t xml:space="preserve">Actual is 0 because there is no billing path.</t>
  </si>
  <si>
    <t xml:space="preserve">Effective ARPA</t>
  </si>
  <si>
    <t xml:space="preserve">Modelled from the live price list × an assumed tier mix.</t>
  </si>
  <si>
    <t xml:space="preserve">Total S&amp;M spend / mo</t>
  </si>
  <si>
    <t xml:space="preserve">Real: the marketing subtotal from the Expenses tab.</t>
  </si>
  <si>
    <t xml:space="preserve">n/a</t>
  </si>
  <si>
    <t xml:space="preserve">Judge vs LTV only</t>
  </si>
  <si>
    <t xml:space="preserve">MODELLED</t>
  </si>
  <si>
    <t xml:space="preserve">Needs paying customers in the denominator. Spend is known; customers are 0.</t>
  </si>
  <si>
    <t xml:space="preserve">75–85%</t>
  </si>
  <si>
    <t xml:space="preserve">API cost is trivially small, so 85% is a defensible modelling assumption.</t>
  </si>
  <si>
    <t xml:space="preserve">Monthly churn %</t>
  </si>
  <si>
    <t xml:space="preserve">SMB 3–7%</t>
  </si>
  <si>
    <t xml:space="preserve">Needs one paying cohort with 60+ days of history.</t>
  </si>
  <si>
    <t xml:space="preserve">LTV (GM-adjusted)</t>
  </si>
  <si>
    <t xml:space="preserve">ARPA × GM% ÷ churn. Blocked entirely on a real churn rate.</t>
  </si>
  <si>
    <t xml:space="preserve">Blocked on both LTV and CAC.</t>
  </si>
  <si>
    <t xml:space="preserve">Annual prepay would shorten this materially — 20% annual share is already modelled.</t>
  </si>
  <si>
    <t xml:space="preserve">New MRR ÷ churn. The number this engine converges to. Worth knowing before you scale spend.</t>
  </si>
  <si>
    <t xml:space="preserve">Column B is what you can defend with data today. Column C is what the model produces at the Calculator's assumptions. Never present column C as though it were column B — that is exactly the mistake the previous version of this workbook made.</t>
  </si>
  <si>
    <t xml:space="preserve">PROJECTIONS — 24-month driver model (Sep-26 → Aug-28)</t>
  </si>
  <si>
    <t xml:space="preserve">Every driver is a live link to the Calculator tab. Change levers there; this tab follows.</t>
  </si>
  <si>
    <t xml:space="preserve">Cold email is modelled as launching in Sep-26 (first full month after the 2026-08-27 earliest defensible start). SEO clicks compound at the growth rate below.</t>
  </si>
  <si>
    <t xml:space="preserve">DRIVERS (live from Calculator)</t>
  </si>
  <si>
    <t xml:space="preserve">Organic sessions, month 1</t>
  </si>
  <si>
    <t xml:space="preserve">Monthly session growth %</t>
  </si>
  <si>
    <t xml:space="preserve">Emails sent / mo (at full ramp)</t>
  </si>
  <si>
    <t xml:space="preserve">Email sends growth %</t>
  </si>
  <si>
    <t xml:space="preserve">Email → customer conversion %</t>
  </si>
  <si>
    <t xml:space="preserve">Direct customers / mo</t>
  </si>
  <si>
    <t xml:space="preserve">Fixed cost / mo</t>
  </si>
  <si>
    <t xml:space="preserve">Monthly cost growth %</t>
  </si>
  <si>
    <t xml:space="preserve">MODEL</t>
  </si>
  <si>
    <t xml:space="preserve">Line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</si>
  <si>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</si>
  <si>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</si>
  <si>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</si>
  <si>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</si>
  <si>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</si>
  <si>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</si>
  <si>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</si>
  <si>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</si>
  <si>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</si>
  <si>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</si>
  <si>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</si>
  <si>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</si>
  <si>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</si>
  <si>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</si>
  <si>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</si>
  <si>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</si>
  <si>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</si>
  <si>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</si>
  <si>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</si>
  <si>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</si>
  <si>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</si>
  <si>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</si>
  <si>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</si>
  <si>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</si>
  <si>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Organic sessions</t>
  </si>
  <si>
    <t xml:space="preserve">Organic activated</t>
  </si>
  <si>
    <t xml:space="preserve">New customers — SEO</t>
  </si>
  <si>
    <t xml:space="preserve">New customers — cold email</t>
  </si>
  <si>
    <t xml:space="preserve">New customers — direct</t>
  </si>
  <si>
    <t xml:space="preserve">Total new customers</t>
  </si>
  <si>
    <t xml:space="preserve">Beginning customers</t>
  </si>
  <si>
    <t xml:space="preserve">New MRR</t>
  </si>
  <si>
    <t xml:space="preserve">Gross profit</t>
  </si>
  <si>
    <t xml:space="preserve">Total cost</t>
  </si>
  <si>
    <t xml:space="preserve">Net income / (burn)</t>
  </si>
  <si>
    <t xml:space="preserve">SCENARIO SUMMARY</t>
  </si>
  <si>
    <t xml:space="preserve">MRR — month 12 (Aug-27)</t>
  </si>
  <si>
    <t xml:space="preserve">MRR — month 24 (Aug-28)</t>
  </si>
  <si>
    <t xml:space="preserve">ARR — month 24</t>
  </si>
  <si>
    <t xml:space="preserve">Customers — month 24</t>
  </si>
  <si>
    <t xml:space="preserve">Ceiling if acquisition never grows</t>
  </si>
  <si>
    <t xml:space="preserve">First cash-flow-positive month</t>
  </si>
  <si>
    <t xml:space="preserve">Months profitable (of 24)</t>
  </si>
  <si>
    <t xml:space="preserve">Why month-24 MRR exceeds the 'ceiling' above: the ceiling is the level this engine converges to if acquisition NEVER grows. This model grows organic sessions 15%/mo and email volume 5%/mo, so it climbs past it. The ceiling is the useful number for 'what happens if we stop improving' — the model is the number for 'what happens if we keep pushing'. Show an investor both.</t>
  </si>
  <si>
    <t xml:space="preserve">⚠ These projections assume Stripe billing ships and cold email launches. Neither has happened yet. They are a plan, not a forecast, and should be presented that way.</t>
  </si>
  <si>
    <t xml:space="preserve">BENCHMARKS &amp; TARGETS — what good looks like</t>
  </si>
  <si>
    <t xml:space="preserve">Compiled from David Skok (forEntrepreneurs/Matrix), David Sacks (Craft Ventures), OpenView, and 2026 cold-email datasets.</t>
  </si>
  <si>
    <t xml:space="preserve">Why it matters / how it applies to GovHub</t>
  </si>
  <si>
    <t xml:space="preserve">Growth</t>
  </si>
  <si>
    <t xml:space="preserve">MRR growth (MoM)</t>
  </si>
  <si>
    <t xml:space="preserve">10%+ strong pre-$1M ARR</t>
  </si>
  <si>
    <t xml:space="preserve">Best single proof of product-market fit. Not measurable at $0.</t>
  </si>
  <si>
    <t xml:space="preserve">Net New MRR mix</t>
  </si>
  <si>
    <t xml:space="preserve">New + expansion &gt; churn + contraction</t>
  </si>
  <si>
    <t xml:space="preserve">Track the four-part waterfall from the first paying month.</t>
  </si>
  <si>
    <t xml:space="preserve">Retention</t>
  </si>
  <si>
    <t xml:space="preserve">Logo churn (monthly)</t>
  </si>
  <si>
    <t xml:space="preserve">SMB SaaS 3–7%/mo; aim &lt;5%</t>
  </si>
  <si>
    <t xml:space="preserve">Govcon has bid-cycle seasonality — expect lumpy early churn.</t>
  </si>
  <si>
    <t xml:space="preserve">Net revenue retention</t>
  </si>
  <si>
    <t xml:space="preserve">≥100%</t>
  </si>
  <si>
    <t xml:space="preserve">Solo→Pro upgrades and Team seats are the expansion path.</t>
  </si>
  <si>
    <t xml:space="preserve">Quick ratio</t>
  </si>
  <si>
    <t xml:space="preserve">≥4x</t>
  </si>
  <si>
    <t xml:space="preserve">(New+Expansion) ÷ (Churned+Contraction). &lt;2 = leaky bucket.</t>
  </si>
  <si>
    <t xml:space="preserve">Unit economics</t>
  </si>
  <si>
    <t xml:space="preserve">≥3x healthy; 5x+ strong</t>
  </si>
  <si>
    <t xml:space="preserve">Skok/Craft standard. &lt;3x means do not scale spend yet.</t>
  </si>
  <si>
    <t xml:space="preserve">CAC payback</t>
  </si>
  <si>
    <t xml:space="preserve">Annual prepay (10× monthly) shortens effective payback materially.</t>
  </si>
  <si>
    <t xml:space="preserve">Gross margin</t>
  </si>
  <si>
    <t xml:space="preserve">Your API cost is ~$27/mo at peak — margin is not your problem.</t>
  </si>
  <si>
    <t xml:space="preserve">Magic number</t>
  </si>
  <si>
    <t xml:space="preserve">&gt;0.75 = step on gas; &lt;0.5 = fix first</t>
  </si>
  <si>
    <t xml:space="preserve">Net-new ARR ÷ prior-period S&amp;M.</t>
  </si>
  <si>
    <t xml:space="preserve">Rule of 40</t>
  </si>
  <si>
    <t xml:space="preserve">Growth% + margin% ≥ 40</t>
  </si>
  <si>
    <t xml:space="preserve">Matters past $1M ARR; directional before that.</t>
  </si>
  <si>
    <t xml:space="preserve">Funnel</t>
  </si>
  <si>
    <t xml:space="preserve">Trial → paid (no card)</t>
  </si>
  <si>
    <t xml:space="preserve">~10–25% typical band</t>
  </si>
  <si>
    <t xml:space="preserve">The Calculator assumes 12% organic / 30% email. Both are assumptions.</t>
  </si>
  <si>
    <t xml:space="preserve">Visitor → trial</t>
  </si>
  <si>
    <t xml:space="preserve">0.5–2% of unique visitors</t>
  </si>
  <si>
    <t xml:space="preserve">Landing-page and offer clarity is the lever.</t>
  </si>
  <si>
    <t xml:space="preserve">GovHub's actual is 70% (21/30) — genuinely above benchmark.</t>
  </si>
  <si>
    <t xml:space="preserve">Cold email</t>
  </si>
  <si>
    <t xml:space="preserve">Reply rate (of delivered)</t>
  </si>
  <si>
    <t xml:space="preserve">2026 avg ~3.4%; 5%+ good</t>
  </si>
  <si>
    <t xml:space="preserve">Declining industry-wide; segmentation is the biggest lever.</t>
  </si>
  <si>
    <t xml:space="preserve">Positive reply rate</t>
  </si>
  <si>
    <t xml:space="preserve">~1–2% solid</t>
  </si>
  <si>
    <t xml:space="preserve">Track positive separately — total replies include 'remove me'.</t>
  </si>
  <si>
    <t xml:space="preserve">Meeting booked rate</t>
  </si>
  <si>
    <t xml:space="preserve">~0.5–2.5% of delivered</t>
  </si>
  <si>
    <t xml:space="preserve">Varies with offer and follow-up quality.</t>
  </si>
  <si>
    <t xml:space="preserve">Bounce rate</t>
  </si>
  <si>
    <t xml:space="preserve">&lt;2%</t>
  </si>
  <si>
    <t xml:space="preserve">MillionVerifier at $59/mo is the control for this.</t>
  </si>
  <si>
    <t xml:space="preserve">Spam complaint rate</t>
  </si>
  <si>
    <t xml:space="preserve">&lt;0.3% (Gmail/Yahoo mandate)</t>
  </si>
  <si>
    <t xml:space="preserve">Hard requirement for bulk senders since 2024.</t>
  </si>
  <si>
    <t xml:space="preserve">Volume per mailbox</t>
  </si>
  <si>
    <t xml:space="preserve">50–100/day AFTER months of history</t>
  </si>
  <si>
    <t xml:space="preserve">Your domains are days old. 15/day is the right starting cap.</t>
  </si>
  <si>
    <t xml:space="preserve">Warm-up before sending</t>
  </si>
  <si>
    <t xml:space="preserve">2 weeks minimum; 3 weeks holds up</t>
  </si>
  <si>
    <t xml:space="preserve">Domains created 2026-08-06 → 2026-08-27 is day 21.</t>
  </si>
  <si>
    <t xml:space="preserve">Follow-ups</t>
  </si>
  <si>
    <t xml:space="preserve">2–3 touches; ~40%+ of replies come from follow-ups</t>
  </si>
  <si>
    <t xml:space="preserve">Most senders quit after one email.</t>
  </si>
  <si>
    <t xml:space="preserve">SEO</t>
  </si>
  <si>
    <t xml:space="preserve">Time to compounding</t>
  </si>
  <si>
    <t xml:space="preserve">6–12 months</t>
  </si>
  <si>
    <t xml:space="preserve">You are at month 2 of real indexation. Judge on keywords, not revenue.</t>
  </si>
  <si>
    <t xml:space="preserve">CTR by position</t>
  </si>
  <si>
    <t xml:space="preserve">Position 1–3 ≈ 10–30%+; page 2+ ≈ ~0</t>
  </si>
  <si>
    <t xml:space="preserve">'govwin' at position 23 earns almost nothing. Moving it is the whole game.</t>
  </si>
  <si>
    <t xml:space="preserve">Cash</t>
  </si>
  <si>
    <t xml:space="preserve">Runway</t>
  </si>
  <si>
    <t xml:space="preserve">≥12 months</t>
  </si>
  <si>
    <t xml:space="preserve">At ~$413/mo burn this is governed by your personal runway, not the company's.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</si>
</sst>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#,##0;\(#,##0\);\-"/>
    <numFmt numFmtId="167" formatCode="\$#,##0.00;&quot;($&quot;#,##0.00\);\-"/>
    <numFmt numFmtId="168" formatCode="0.00%;\(0.00%\);\-"/>
    <numFmt numFmtId="169" formatCode="0.0%;\(0.0%\);\-"/>
    <numFmt numFmtId="170" formatCode="#,##0.0;\(#,##0.0\);\-"/>
    <numFmt numFmtId="171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9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E4"/>
        <bgColor rgb="FFF2F2F2"/>
      </patternFill>
    </fill>
    <fill>
      <patternFill patternType="solid">
        <fgColor rgb="FFD9E2F3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2" shrinkToFit="false"/>
      <protection locked="true" hidden="false"/>
    </xf>
    <xf numFmtId="166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69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1" shrinkToFit="false"/>
      <protection locked="true" hidden="false"/>
    </xf>
    <xf numFmtId="170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6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6" customFormat="false" ht="15" hidden="false" customHeight="false" outlineLevel="0" collapsed="false">
      <c r="B6" s="4" t="s">
        <v>4</v>
      </c>
    </row>
    <row r="7" customFormat="false" ht="15" hidden="false" customHeight="false" outlineLevel="0" collapsed="false">
      <c r="B7" s="4" t="s">
        <v>5</v>
      </c>
    </row>
    <row r="8" customFormat="false" ht="15" hidden="false" customHeight="false" outlineLevel="0" collapsed="false">
      <c r="B8" s="4" t="s">
        <v>6</v>
      </c>
    </row>
    <row r="9" customFormat="false" ht="15" hidden="false" customHeight="false" outlineLevel="0" collapsed="false">
      <c r="B9" s="4"/>
    </row>
    <row r="10" customFormat="false" ht="15" hidden="false" customHeight="false" outlineLevel="0" collapsed="false">
      <c r="B10" s="5" t="s">
        <v>7</v>
      </c>
    </row>
    <row r="11" customFormat="false" ht="15" hidden="false" customHeight="false" outlineLevel="0" collapsed="false">
      <c r="B11" s="4" t="s">
        <v>8</v>
      </c>
    </row>
    <row r="13" customFormat="false" ht="15" hidden="false" customHeight="false" outlineLevel="0" collapsed="false">
      <c r="B13" s="6" t="s">
        <v>9</v>
      </c>
    </row>
    <row r="14" customFormat="false" ht="15" hidden="false" customHeight="false" outlineLevel="0" collapsed="false">
      <c r="B14" s="4" t="s">
        <v>10</v>
      </c>
    </row>
    <row r="15" customFormat="false" ht="15" hidden="false" customHeight="false" outlineLevel="0" collapsed="false">
      <c r="B15" s="4" t="s">
        <v>11</v>
      </c>
    </row>
    <row r="16" customFormat="false" ht="15" hidden="false" customHeight="false" outlineLevel="0" collapsed="false">
      <c r="B16" s="4" t="s">
        <v>12</v>
      </c>
    </row>
    <row r="17" customFormat="false" ht="15" hidden="false" customHeight="false" outlineLevel="0" collapsed="false">
      <c r="B17" s="4" t="s">
        <v>13</v>
      </c>
    </row>
    <row r="19" customFormat="false" ht="15" hidden="false" customHeight="false" outlineLevel="0" collapsed="false">
      <c r="B19" s="6" t="s">
        <v>14</v>
      </c>
    </row>
    <row r="20" customFormat="false" ht="15" hidden="false" customHeight="false" outlineLevel="0" collapsed="false">
      <c r="B20" s="4" t="s">
        <v>15</v>
      </c>
    </row>
    <row r="21" customFormat="false" ht="15" hidden="false" customHeight="false" outlineLevel="0" collapsed="false">
      <c r="B21" s="4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15" hidden="false" customHeight="false" outlineLevel="0" collapsed="false">
      <c r="B26" s="4" t="s">
        <v>21</v>
      </c>
    </row>
    <row r="27" customFormat="false" ht="15" hidden="false" customHeight="false" outlineLevel="0" collapsed="false">
      <c r="B27" s="4" t="s">
        <v>22</v>
      </c>
    </row>
    <row r="28" customFormat="false" ht="15" hidden="false" customHeight="false" outlineLevel="0" collapsed="false">
      <c r="B28" s="4" t="s">
        <v>23</v>
      </c>
    </row>
    <row r="29" customFormat="false" ht="15" hidden="false" customHeight="false" outlineLevel="0" collapsed="false">
      <c r="B29" s="4" t="s">
        <v>24</v>
      </c>
    </row>
    <row r="31" customFormat="false" ht="15" hidden="false" customHeight="false" outlineLevel="0" collapsed="false">
      <c r="B31" s="6" t="s">
        <v>25</v>
      </c>
    </row>
    <row r="32" customFormat="false" ht="15" hidden="false" customHeight="false" outlineLevel="0" collapsed="false">
      <c r="B32" s="7" t="s">
        <v>26</v>
      </c>
    </row>
    <row r="33" customFormat="false" ht="15" hidden="false" customHeight="false" outlineLevel="0" collapsed="false">
      <c r="B33" s="7" t="s">
        <v>27</v>
      </c>
    </row>
    <row r="34" customFormat="false" ht="15" hidden="false" customHeight="false" outlineLevel="0" collapsed="false">
      <c r="B34" s="7" t="s">
        <v>28</v>
      </c>
    </row>
    <row r="35" customFormat="false" ht="15" hidden="false" customHeight="false" outlineLevel="0" collapsed="false">
      <c r="B35" s="7" t="s">
        <v>29</v>
      </c>
    </row>
    <row r="36" customFormat="false" ht="15" hidden="false" customHeight="false" outlineLevel="0" collapsed="false">
      <c r="B36" s="7" t="s">
        <v>30</v>
      </c>
    </row>
    <row r="37" customFormat="false" ht="15" hidden="false" customHeight="false" outlineLevel="0" collapsed="false">
      <c r="B37" s="7" t="s">
        <v>31</v>
      </c>
    </row>
    <row r="38" customFormat="false" ht="15" hidden="false" customHeight="false" outlineLevel="0" collapsed="false">
      <c r="B38" s="7" t="s">
        <v>32</v>
      </c>
    </row>
    <row r="40" customFormat="false" ht="15" hidden="false" customHeight="false" outlineLevel="0" collapsed="false">
      <c r="B40" s="6" t="s">
        <v>33</v>
      </c>
    </row>
    <row r="41" customFormat="false" ht="15" hidden="false" customHeight="false" outlineLevel="0" collapsed="false">
      <c r="B41" s="4" t="s">
        <v>34</v>
      </c>
    </row>
    <row r="42" customFormat="false" ht="15" hidden="false" customHeight="false" outlineLevel="0" collapsed="false">
      <c r="B42" s="4" t="s">
        <v>35</v>
      </c>
    </row>
    <row r="43" customFormat="false" ht="15" hidden="false" customHeight="false" outlineLevel="0" collapsed="false">
      <c r="B43" s="4" t="s">
        <v>36</v>
      </c>
    </row>
    <row r="44" customFormat="false" ht="15" hidden="false" customHeight="false" outlineLevel="0" collapsed="false">
      <c r="B44" s="4" t="s">
        <v>37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16"/>
    <col collapsed="false" customWidth="true" hidden="false" outlineLevel="0" max="7" min="7" style="0" width="46"/>
  </cols>
  <sheetData>
    <row r="1" customFormat="false" ht="24" hidden="false" customHeight="true" outlineLevel="0" collapsed="false">
      <c r="A1" s="1" t="s">
        <v>38</v>
      </c>
      <c r="B1" s="1"/>
      <c r="C1" s="1"/>
      <c r="D1" s="1"/>
      <c r="E1" s="1"/>
      <c r="F1" s="1"/>
      <c r="G1" s="1"/>
    </row>
    <row r="2" customFormat="false" ht="13.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8" t="s">
        <v>40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9" t="s">
        <v>41</v>
      </c>
      <c r="B5" s="9" t="s">
        <v>42</v>
      </c>
      <c r="C5" s="9" t="s">
        <v>43</v>
      </c>
      <c r="D5" s="9" t="s">
        <v>44</v>
      </c>
      <c r="E5" s="9" t="s">
        <v>45</v>
      </c>
      <c r="F5" s="9" t="s">
        <v>46</v>
      </c>
      <c r="G5" s="9" t="s">
        <v>47</v>
      </c>
    </row>
    <row r="6" customFormat="false" ht="15" hidden="false" customHeight="false" outlineLevel="0" collapsed="false">
      <c r="A6" s="5" t="s">
        <v>48</v>
      </c>
      <c r="B6" s="10" t="n">
        <f aca="false">Revenue!O25</f>
        <v>0</v>
      </c>
      <c r="C6" s="10" t="n">
        <f aca="false">Revenue!M25</f>
        <v>0</v>
      </c>
      <c r="D6" s="11" t="n">
        <f aca="false">IF(OR(B6="",C6=""),"",B6-C6)</f>
        <v>0</v>
      </c>
      <c r="E6" s="7" t="s">
        <v>49</v>
      </c>
      <c r="F6" s="12" t="s">
        <v>50</v>
      </c>
      <c r="G6" s="7" t="s">
        <v>51</v>
      </c>
    </row>
    <row r="7" customFormat="false" ht="15" hidden="false" customHeight="false" outlineLevel="0" collapsed="false">
      <c r="A7" s="5" t="s">
        <v>52</v>
      </c>
      <c r="B7" s="13" t="n">
        <f aca="false">Revenue!O16</f>
        <v>0</v>
      </c>
      <c r="C7" s="13" t="n">
        <f aca="false">Revenue!M16</f>
        <v>0</v>
      </c>
      <c r="D7" s="14" t="n">
        <f aca="false">IF(OR(B7="",C7=""),"",B7-C7)</f>
        <v>0</v>
      </c>
      <c r="E7" s="7" t="s">
        <v>53</v>
      </c>
      <c r="F7" s="12" t="s">
        <v>50</v>
      </c>
      <c r="G7" s="7" t="s">
        <v>54</v>
      </c>
    </row>
    <row r="8" customFormat="false" ht="15" hidden="false" customHeight="false" outlineLevel="0" collapsed="false">
      <c r="A8" s="5" t="s">
        <v>55</v>
      </c>
      <c r="B8" s="10" t="n">
        <f aca="false">B6*12</f>
        <v>0</v>
      </c>
      <c r="C8" s="10" t="n">
        <f aca="false">C6*12</f>
        <v>0</v>
      </c>
      <c r="D8" s="11" t="n">
        <f aca="false">IF(OR(B8="",C8=""),"",B8-C8)</f>
        <v>0</v>
      </c>
      <c r="E8" s="7" t="s">
        <v>56</v>
      </c>
      <c r="F8" s="12" t="s">
        <v>50</v>
      </c>
      <c r="G8" s="7"/>
    </row>
    <row r="9" customFormat="false" ht="15" hidden="false" customHeight="false" outlineLevel="0" collapsed="false">
      <c r="A9" s="5" t="s">
        <v>57</v>
      </c>
      <c r="B9" s="13" t="n">
        <f aca="false">Funnel!C10</f>
        <v>30</v>
      </c>
      <c r="E9" s="7" t="s">
        <v>58</v>
      </c>
      <c r="F9" s="15" t="s">
        <v>59</v>
      </c>
      <c r="G9" s="7" t="s">
        <v>60</v>
      </c>
    </row>
    <row r="10" customFormat="false" ht="15" hidden="false" customHeight="false" outlineLevel="0" collapsed="false">
      <c r="A10" s="5" t="s">
        <v>61</v>
      </c>
      <c r="B10" s="13" t="n">
        <f aca="false">Funnel!C11</f>
        <v>9</v>
      </c>
      <c r="E10" s="7" t="s">
        <v>62</v>
      </c>
      <c r="F10" s="15" t="s">
        <v>59</v>
      </c>
      <c r="G10" s="7" t="s">
        <v>63</v>
      </c>
    </row>
    <row r="11" customFormat="false" ht="15" hidden="false" customHeight="false" outlineLevel="0" collapsed="false">
      <c r="A11" s="5" t="s">
        <v>64</v>
      </c>
      <c r="B11" s="13" t="n">
        <f aca="false">Funnel!B30</f>
        <v>3</v>
      </c>
      <c r="E11" s="7" t="s">
        <v>56</v>
      </c>
      <c r="F11" s="15" t="s">
        <v>59</v>
      </c>
      <c r="G11" s="7" t="s">
        <v>65</v>
      </c>
    </row>
    <row r="13" customFormat="false" ht="15" hidden="false" customHeight="false" outlineLevel="0" collapsed="false">
      <c r="A13" s="8" t="s">
        <v>66</v>
      </c>
      <c r="B13" s="8"/>
      <c r="C13" s="8"/>
      <c r="D13" s="8"/>
      <c r="E13" s="8"/>
      <c r="F13" s="8"/>
      <c r="G13" s="8"/>
    </row>
    <row r="14" customFormat="false" ht="15" hidden="false" customHeight="false" outlineLevel="0" collapsed="false">
      <c r="A14" s="9" t="s">
        <v>41</v>
      </c>
      <c r="B14" s="9" t="s">
        <v>67</v>
      </c>
      <c r="C14" s="9" t="s">
        <v>68</v>
      </c>
      <c r="D14" s="9" t="s">
        <v>44</v>
      </c>
      <c r="E14" s="9" t="s">
        <v>69</v>
      </c>
      <c r="F14" s="9" t="s">
        <v>46</v>
      </c>
      <c r="G14" s="9" t="s">
        <v>70</v>
      </c>
    </row>
    <row r="15" customFormat="false" ht="15" hidden="false" customHeight="false" outlineLevel="0" collapsed="false">
      <c r="A15" s="5" t="s">
        <v>71</v>
      </c>
      <c r="B15" s="13" t="n">
        <f aca="false">SEO!O6</f>
        <v>114</v>
      </c>
      <c r="C15" s="13" t="n">
        <f aca="false">SEO!L6</f>
        <v>1</v>
      </c>
      <c r="D15" s="14" t="n">
        <f aca="false">B15-C15</f>
        <v>113</v>
      </c>
      <c r="E15" s="7" t="s">
        <v>72</v>
      </c>
      <c r="F15" s="15" t="s">
        <v>73</v>
      </c>
      <c r="G15" s="7" t="s">
        <v>74</v>
      </c>
    </row>
    <row r="16" customFormat="false" ht="15" hidden="false" customHeight="false" outlineLevel="0" collapsed="false">
      <c r="A16" s="5" t="s">
        <v>75</v>
      </c>
      <c r="B16" s="13" t="n">
        <f aca="false">SEO!O7</f>
        <v>20</v>
      </c>
      <c r="C16" s="13" t="n">
        <f aca="false">SEO!L7</f>
        <v>0</v>
      </c>
      <c r="D16" s="14" t="n">
        <f aca="false">B16-C16</f>
        <v>20</v>
      </c>
      <c r="E16" s="7" t="s">
        <v>76</v>
      </c>
      <c r="F16" s="16" t="s">
        <v>77</v>
      </c>
      <c r="G16" s="7" t="s">
        <v>78</v>
      </c>
    </row>
    <row r="17" customFormat="false" ht="15" hidden="false" customHeight="false" outlineLevel="0" collapsed="false">
      <c r="A17" s="5" t="s">
        <v>79</v>
      </c>
      <c r="B17" s="13" t="n">
        <f aca="false">Funnel!C13</f>
        <v>30</v>
      </c>
      <c r="E17" s="7" t="s">
        <v>80</v>
      </c>
      <c r="F17" s="16" t="s">
        <v>59</v>
      </c>
      <c r="G17" s="7" t="s">
        <v>81</v>
      </c>
    </row>
    <row r="18" customFormat="false" ht="15" hidden="false" customHeight="false" outlineLevel="0" collapsed="false">
      <c r="A18" s="5" t="s">
        <v>82</v>
      </c>
      <c r="B18" s="17" t="n">
        <f aca="false">Expenses!N40</f>
        <v>7.9</v>
      </c>
      <c r="C18" s="17" t="n">
        <f aca="false">Expenses!M40</f>
        <v>26.75</v>
      </c>
      <c r="D18" s="18" t="n">
        <f aca="false">B18-C18</f>
        <v>-18.85</v>
      </c>
      <c r="E18" s="7" t="s">
        <v>83</v>
      </c>
      <c r="F18" s="16" t="s">
        <v>84</v>
      </c>
      <c r="G18" s="7" t="s">
        <v>85</v>
      </c>
    </row>
    <row r="19" customFormat="false" ht="15" hidden="false" customHeight="false" outlineLevel="0" collapsed="false">
      <c r="A19" s="5" t="s">
        <v>86</v>
      </c>
      <c r="B19" s="13" t="n">
        <f aca="false">'Cold Email'!O8</f>
        <v>0</v>
      </c>
      <c r="E19" s="7" t="s">
        <v>87</v>
      </c>
      <c r="F19" s="19" t="s">
        <v>88</v>
      </c>
      <c r="G19" s="7" t="s">
        <v>89</v>
      </c>
    </row>
    <row r="21" customFormat="false" ht="15" hidden="false" customHeight="false" outlineLevel="0" collapsed="false">
      <c r="A21" s="8" t="s">
        <v>90</v>
      </c>
      <c r="B21" s="8"/>
      <c r="C21" s="8"/>
      <c r="D21" s="8"/>
      <c r="E21" s="8"/>
      <c r="F21" s="8"/>
      <c r="G21" s="8"/>
    </row>
    <row r="22" customFormat="false" ht="15" hidden="false" customHeight="false" outlineLevel="0" collapsed="false">
      <c r="A22" s="9" t="s">
        <v>41</v>
      </c>
      <c r="B22" s="9" t="s">
        <v>46</v>
      </c>
      <c r="C22" s="9"/>
      <c r="D22" s="9"/>
      <c r="E22" s="9" t="s">
        <v>91</v>
      </c>
      <c r="F22" s="9"/>
      <c r="G22" s="9" t="s">
        <v>92</v>
      </c>
    </row>
    <row r="23" customFormat="false" ht="15" hidden="false" customHeight="false" outlineLevel="0" collapsed="false">
      <c r="A23" s="5" t="s">
        <v>93</v>
      </c>
      <c r="B23" s="20" t="s">
        <v>94</v>
      </c>
      <c r="C23" s="20"/>
      <c r="D23" s="20"/>
      <c r="E23" s="21" t="s">
        <v>95</v>
      </c>
      <c r="F23" s="21"/>
      <c r="G23" s="7" t="s">
        <v>96</v>
      </c>
    </row>
    <row r="24" customFormat="false" ht="15" hidden="false" customHeight="false" outlineLevel="0" collapsed="false">
      <c r="A24" s="5" t="s">
        <v>97</v>
      </c>
      <c r="B24" s="20" t="s">
        <v>94</v>
      </c>
      <c r="C24" s="20"/>
      <c r="D24" s="20"/>
      <c r="E24" s="21" t="s">
        <v>98</v>
      </c>
      <c r="F24" s="21"/>
      <c r="G24" s="7" t="s">
        <v>99</v>
      </c>
    </row>
    <row r="25" customFormat="false" ht="15" hidden="false" customHeight="false" outlineLevel="0" collapsed="false">
      <c r="A25" s="5" t="s">
        <v>100</v>
      </c>
      <c r="B25" s="20" t="s">
        <v>94</v>
      </c>
      <c r="C25" s="20"/>
      <c r="D25" s="20"/>
      <c r="E25" s="21" t="s">
        <v>101</v>
      </c>
      <c r="F25" s="21"/>
      <c r="G25" s="7" t="s">
        <v>99</v>
      </c>
    </row>
    <row r="26" customFormat="false" ht="15" hidden="false" customHeight="false" outlineLevel="0" collapsed="false">
      <c r="A26" s="5" t="s">
        <v>102</v>
      </c>
      <c r="B26" s="20" t="s">
        <v>94</v>
      </c>
      <c r="C26" s="20"/>
      <c r="D26" s="20"/>
      <c r="E26" s="21" t="s">
        <v>103</v>
      </c>
      <c r="F26" s="21"/>
      <c r="G26" s="7" t="s">
        <v>104</v>
      </c>
    </row>
    <row r="27" customFormat="false" ht="15" hidden="false" customHeight="false" outlineLevel="0" collapsed="false">
      <c r="A27" s="5" t="s">
        <v>105</v>
      </c>
      <c r="B27" s="20" t="s">
        <v>94</v>
      </c>
      <c r="C27" s="20"/>
      <c r="D27" s="20"/>
      <c r="E27" s="21" t="s">
        <v>106</v>
      </c>
      <c r="F27" s="21"/>
      <c r="G27" s="7" t="s">
        <v>107</v>
      </c>
    </row>
    <row r="28" customFormat="false" ht="15" hidden="false" customHeight="false" outlineLevel="0" collapsed="false">
      <c r="A28" s="5" t="s">
        <v>108</v>
      </c>
      <c r="B28" s="20" t="s">
        <v>94</v>
      </c>
      <c r="C28" s="20"/>
      <c r="D28" s="20"/>
      <c r="E28" s="21" t="s">
        <v>109</v>
      </c>
      <c r="F28" s="21"/>
      <c r="G28" s="7" t="s">
        <v>110</v>
      </c>
    </row>
    <row r="30" customFormat="false" ht="15" hidden="false" customHeight="false" outlineLevel="0" collapsed="false">
      <c r="A30" s="8" t="s">
        <v>111</v>
      </c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5" t="s">
        <v>112</v>
      </c>
      <c r="B31" s="22" t="s">
        <v>113</v>
      </c>
      <c r="C31" s="22"/>
      <c r="D31" s="22"/>
      <c r="E31" s="22"/>
      <c r="F31" s="22"/>
      <c r="G31" s="22"/>
    </row>
    <row r="32" customFormat="false" ht="15" hidden="false" customHeight="false" outlineLevel="0" collapsed="false">
      <c r="A32" s="5" t="s">
        <v>114</v>
      </c>
      <c r="B32" s="22" t="s">
        <v>115</v>
      </c>
      <c r="C32" s="22"/>
      <c r="D32" s="22"/>
      <c r="E32" s="22"/>
      <c r="F32" s="22"/>
      <c r="G32" s="22"/>
    </row>
    <row r="33" customFormat="false" ht="15" hidden="false" customHeight="false" outlineLevel="0" collapsed="false">
      <c r="A33" s="5" t="s">
        <v>116</v>
      </c>
      <c r="B33" s="22" t="s">
        <v>117</v>
      </c>
      <c r="C33" s="22"/>
      <c r="D33" s="22"/>
      <c r="E33" s="22"/>
      <c r="F33" s="22"/>
      <c r="G33" s="22"/>
    </row>
  </sheetData>
  <mergeCells count="21">
    <mergeCell ref="A1:G1"/>
    <mergeCell ref="A2:G2"/>
    <mergeCell ref="A4:G4"/>
    <mergeCell ref="A13:G13"/>
    <mergeCell ref="A21:G21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A30:G30"/>
    <mergeCell ref="B31:G31"/>
    <mergeCell ref="B32:G32"/>
    <mergeCell ref="B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4"/>
    <col collapsed="false" customWidth="true" hidden="false" outlineLevel="0" max="15" min="3" style="0" width="10.5"/>
  </cols>
  <sheetData>
    <row r="1" customFormat="false" ht="24" hidden="false" customHeight="true" outlineLevel="0" collapsed="false">
      <c r="A1" s="1" t="s">
        <v>118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119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23" t="s">
        <v>120</v>
      </c>
    </row>
    <row r="6" customFormat="false" ht="15" hidden="false" customHeight="false" outlineLevel="0" collapsed="false">
      <c r="A6" s="8" t="s">
        <v>121</v>
      </c>
      <c r="B6" s="8"/>
      <c r="C6" s="8"/>
      <c r="D6" s="8"/>
      <c r="E6" s="8"/>
      <c r="F6" s="8"/>
      <c r="G6" s="8"/>
      <c r="H6" s="8"/>
      <c r="I6" s="8"/>
    </row>
    <row r="7" customFormat="false" ht="15" hidden="false" customHeight="false" outlineLevel="0" collapsed="false">
      <c r="A7" s="9" t="s">
        <v>122</v>
      </c>
      <c r="B7" s="9" t="s">
        <v>123</v>
      </c>
      <c r="C7" s="9" t="s">
        <v>124</v>
      </c>
      <c r="D7" s="9" t="s">
        <v>125</v>
      </c>
      <c r="E7" s="9" t="s">
        <v>126</v>
      </c>
      <c r="F7" s="9" t="s">
        <v>46</v>
      </c>
      <c r="G7" s="24" t="s">
        <v>127</v>
      </c>
      <c r="H7" s="24"/>
      <c r="I7" s="24"/>
    </row>
    <row r="8" customFormat="false" ht="15" hidden="false" customHeight="false" outlineLevel="0" collapsed="false">
      <c r="A8" s="5" t="s">
        <v>128</v>
      </c>
      <c r="B8" s="7" t="s">
        <v>129</v>
      </c>
      <c r="C8" s="25"/>
      <c r="E8" s="7" t="s">
        <v>56</v>
      </c>
      <c r="G8" s="21" t="s">
        <v>130</v>
      </c>
      <c r="H8" s="21"/>
      <c r="I8" s="21"/>
    </row>
    <row r="9" customFormat="false" ht="15" hidden="false" customHeight="false" outlineLevel="0" collapsed="false">
      <c r="A9" s="5" t="s">
        <v>131</v>
      </c>
      <c r="B9" s="7" t="s">
        <v>132</v>
      </c>
      <c r="C9" s="26" t="n">
        <v>41</v>
      </c>
      <c r="D9" s="27" t="str">
        <f aca="false">IFERROR(C9/C8,"")</f>
        <v/>
      </c>
      <c r="E9" s="7" t="s">
        <v>133</v>
      </c>
      <c r="G9" s="21" t="s">
        <v>134</v>
      </c>
      <c r="H9" s="21"/>
      <c r="I9" s="21"/>
    </row>
    <row r="10" customFormat="false" ht="15" hidden="false" customHeight="false" outlineLevel="0" collapsed="false">
      <c r="A10" s="5" t="s">
        <v>135</v>
      </c>
      <c r="B10" s="7" t="s">
        <v>136</v>
      </c>
      <c r="C10" s="26" t="n">
        <v>30</v>
      </c>
      <c r="D10" s="27" t="n">
        <f aca="false">IFERROR(C10/C9,"")</f>
        <v>0.731707317073171</v>
      </c>
      <c r="E10" s="7" t="s">
        <v>137</v>
      </c>
      <c r="G10" s="21" t="s">
        <v>138</v>
      </c>
      <c r="H10" s="21"/>
      <c r="I10" s="21"/>
    </row>
    <row r="11" customFormat="false" ht="15" hidden="false" customHeight="false" outlineLevel="0" collapsed="false">
      <c r="A11" s="28" t="s">
        <v>139</v>
      </c>
      <c r="B11" s="7" t="s">
        <v>140</v>
      </c>
      <c r="C11" s="26" t="n">
        <v>9</v>
      </c>
      <c r="E11" s="7" t="s">
        <v>56</v>
      </c>
      <c r="G11" s="21" t="s">
        <v>141</v>
      </c>
      <c r="H11" s="21"/>
      <c r="I11" s="21"/>
    </row>
    <row r="12" customFormat="false" ht="15" hidden="false" customHeight="false" outlineLevel="0" collapsed="false">
      <c r="A12" s="5" t="s">
        <v>142</v>
      </c>
      <c r="B12" s="7" t="s">
        <v>143</v>
      </c>
      <c r="C12" s="26" t="n">
        <v>21</v>
      </c>
      <c r="D12" s="27" t="n">
        <f aca="false">IFERROR(C12/C10,"")</f>
        <v>0.7</v>
      </c>
      <c r="E12" s="7" t="s">
        <v>144</v>
      </c>
      <c r="G12" s="21" t="s">
        <v>145</v>
      </c>
      <c r="H12" s="21"/>
      <c r="I12" s="21"/>
    </row>
    <row r="13" customFormat="false" ht="15" hidden="false" customHeight="false" outlineLevel="0" collapsed="false">
      <c r="A13" s="5" t="s">
        <v>146</v>
      </c>
      <c r="B13" s="7" t="s">
        <v>147</v>
      </c>
      <c r="C13" s="26" t="n">
        <v>30</v>
      </c>
      <c r="E13" s="7" t="s">
        <v>56</v>
      </c>
      <c r="G13" s="21" t="s">
        <v>148</v>
      </c>
      <c r="H13" s="21"/>
      <c r="I13" s="21"/>
    </row>
    <row r="14" customFormat="false" ht="15" hidden="false" customHeight="false" outlineLevel="0" collapsed="false">
      <c r="A14" s="5" t="s">
        <v>149</v>
      </c>
      <c r="B14" s="7" t="s">
        <v>150</v>
      </c>
      <c r="C14" s="26" t="n">
        <v>0</v>
      </c>
      <c r="D14" s="27" t="n">
        <f aca="false">IFERROR(C14/C13,"")</f>
        <v>0</v>
      </c>
      <c r="E14" s="7" t="s">
        <v>151</v>
      </c>
      <c r="G14" s="21" t="s">
        <v>152</v>
      </c>
      <c r="H14" s="21"/>
      <c r="I14" s="21"/>
    </row>
    <row r="16" customFormat="false" ht="15" hidden="false" customHeight="false" outlineLevel="0" collapsed="false">
      <c r="A16" s="5" t="s">
        <v>153</v>
      </c>
      <c r="D16" s="27" t="n">
        <f aca="false">IFERROR(C14/C9,0)</f>
        <v>0</v>
      </c>
      <c r="E16" s="20" t="s">
        <v>154</v>
      </c>
      <c r="F16" s="20"/>
      <c r="G16" s="20"/>
      <c r="H16" s="20"/>
      <c r="I16" s="20"/>
    </row>
    <row r="18" customFormat="false" ht="15" hidden="false" customHeight="false" outlineLevel="0" collapsed="false">
      <c r="A18" s="8" t="s">
        <v>155</v>
      </c>
      <c r="B18" s="8"/>
      <c r="C18" s="8"/>
      <c r="D18" s="8"/>
      <c r="E18" s="8"/>
      <c r="F18" s="8"/>
      <c r="G18" s="8"/>
      <c r="H18" s="8"/>
      <c r="I18" s="8"/>
    </row>
    <row r="19" customFormat="false" ht="15" hidden="false" customHeight="false" outlineLevel="0" collapsed="false">
      <c r="A19" s="9" t="s">
        <v>156</v>
      </c>
      <c r="B19" s="9" t="s">
        <v>46</v>
      </c>
      <c r="C19" s="9" t="s">
        <v>157</v>
      </c>
      <c r="D19" s="9" t="s">
        <v>158</v>
      </c>
      <c r="E19" s="9" t="s">
        <v>159</v>
      </c>
      <c r="F19" s="9" t="s">
        <v>142</v>
      </c>
      <c r="G19" s="9" t="s">
        <v>149</v>
      </c>
      <c r="H19" s="9" t="s">
        <v>160</v>
      </c>
      <c r="I19" s="9" t="s">
        <v>161</v>
      </c>
    </row>
    <row r="20" customFormat="false" ht="15" hidden="false" customHeight="false" outlineLevel="0" collapsed="false">
      <c r="A20" s="5" t="s">
        <v>162</v>
      </c>
      <c r="B20" s="16" t="s">
        <v>163</v>
      </c>
      <c r="C20" s="26"/>
      <c r="D20" s="26" t="n">
        <v>41</v>
      </c>
      <c r="E20" s="26" t="n">
        <v>1</v>
      </c>
      <c r="F20" s="26" t="n">
        <v>1</v>
      </c>
      <c r="G20" s="26" t="n">
        <v>0</v>
      </c>
      <c r="H20" s="27" t="n">
        <f aca="false">IFERROR(G20/E20,0)</f>
        <v>0</v>
      </c>
      <c r="I20" s="7" t="s">
        <v>164</v>
      </c>
    </row>
    <row r="21" customFormat="false" ht="15" hidden="false" customHeight="false" outlineLevel="0" collapsed="false">
      <c r="A21" s="5" t="s">
        <v>165</v>
      </c>
      <c r="B21" s="19" t="s">
        <v>166</v>
      </c>
      <c r="C21" s="26" t="n">
        <v>0</v>
      </c>
      <c r="D21" s="26" t="n">
        <v>0</v>
      </c>
      <c r="E21" s="26" t="n">
        <v>0</v>
      </c>
      <c r="F21" s="26" t="n">
        <v>0</v>
      </c>
      <c r="G21" s="26" t="n">
        <v>0</v>
      </c>
      <c r="H21" s="27" t="n">
        <f aca="false">IFERROR(G21/E21,0)</f>
        <v>0</v>
      </c>
      <c r="I21" s="7" t="s">
        <v>167</v>
      </c>
    </row>
    <row r="22" customFormat="false" ht="15" hidden="false" customHeight="false" outlineLevel="0" collapsed="false">
      <c r="A22" s="5" t="s">
        <v>168</v>
      </c>
      <c r="B22" s="15" t="s">
        <v>169</v>
      </c>
      <c r="C22" s="26" t="n">
        <v>48</v>
      </c>
      <c r="D22" s="26" t="n">
        <v>0</v>
      </c>
      <c r="E22" s="26" t="n">
        <v>0</v>
      </c>
      <c r="F22" s="26" t="n">
        <v>0</v>
      </c>
      <c r="G22" s="26" t="n">
        <v>0</v>
      </c>
      <c r="H22" s="27" t="n">
        <f aca="false">IFERROR(G22/E22,0)</f>
        <v>0</v>
      </c>
      <c r="I22" s="7" t="s">
        <v>170</v>
      </c>
    </row>
    <row r="23" customFormat="false" ht="15" hidden="false" customHeight="false" outlineLevel="0" collapsed="false">
      <c r="A23" s="5" t="s">
        <v>171</v>
      </c>
      <c r="B23" s="15" t="s">
        <v>169</v>
      </c>
      <c r="C23" s="26" t="n">
        <v>0</v>
      </c>
      <c r="D23" s="26" t="n">
        <v>0</v>
      </c>
      <c r="E23" s="26" t="n">
        <v>29</v>
      </c>
      <c r="F23" s="26" t="n">
        <v>20</v>
      </c>
      <c r="G23" s="26" t="n">
        <v>0</v>
      </c>
      <c r="H23" s="27" t="n">
        <f aca="false">IFERROR(G23/E23,0)</f>
        <v>0</v>
      </c>
      <c r="I23" s="7" t="s">
        <v>172</v>
      </c>
    </row>
    <row r="24" customFormat="false" ht="15" hidden="false" customHeight="false" outlineLevel="0" collapsed="false">
      <c r="A24" s="5" t="s">
        <v>173</v>
      </c>
      <c r="C24" s="29" t="n">
        <f aca="false">SUM(C20:C23)</f>
        <v>48</v>
      </c>
      <c r="D24" s="29" t="n">
        <f aca="false">SUM(D20:D23)</f>
        <v>41</v>
      </c>
      <c r="E24" s="29" t="n">
        <f aca="false">SUM(E20:E23)</f>
        <v>30</v>
      </c>
      <c r="F24" s="29" t="n">
        <f aca="false">SUM(F20:F23)</f>
        <v>21</v>
      </c>
      <c r="G24" s="29" t="n">
        <f aca="false">SUM(G20:G23)</f>
        <v>0</v>
      </c>
      <c r="H24" s="30" t="n">
        <f aca="false">IFERROR(G24/E24,0)</f>
        <v>0</v>
      </c>
    </row>
    <row r="26" customFormat="false" ht="15" hidden="false" customHeight="false" outlineLevel="0" collapsed="false">
      <c r="A26" s="8" t="s">
        <v>174</v>
      </c>
      <c r="B26" s="8"/>
      <c r="C26" s="8"/>
      <c r="D26" s="8"/>
      <c r="E26" s="8"/>
      <c r="F26" s="8"/>
      <c r="G26" s="8"/>
      <c r="H26" s="8"/>
      <c r="I26" s="8"/>
    </row>
    <row r="27" customFormat="false" ht="15" hidden="false" customHeight="false" outlineLevel="0" collapsed="false">
      <c r="A27" s="9" t="s">
        <v>41</v>
      </c>
      <c r="B27" s="9" t="s">
        <v>124</v>
      </c>
      <c r="C27" s="9" t="s">
        <v>175</v>
      </c>
      <c r="D27" s="9"/>
      <c r="E27" s="9" t="s">
        <v>161</v>
      </c>
    </row>
    <row r="28" customFormat="false" ht="15" hidden="false" customHeight="false" outlineLevel="0" collapsed="false">
      <c r="A28" s="5" t="s">
        <v>176</v>
      </c>
      <c r="B28" s="26" t="n">
        <v>29</v>
      </c>
      <c r="C28" s="31" t="n">
        <f aca="false">IFERROR(B28/$B$28,0)</f>
        <v>1</v>
      </c>
      <c r="E28" s="21" t="s">
        <v>177</v>
      </c>
      <c r="F28" s="21"/>
      <c r="G28" s="21"/>
      <c r="H28" s="21"/>
      <c r="I28" s="21"/>
    </row>
    <row r="29" customFormat="false" ht="15" hidden="false" customHeight="false" outlineLevel="0" collapsed="false">
      <c r="A29" s="5" t="s">
        <v>178</v>
      </c>
      <c r="B29" s="26" t="n">
        <v>26</v>
      </c>
      <c r="C29" s="31" t="n">
        <f aca="false">IFERROR(B29/$B$28,0)</f>
        <v>0.896551724137931</v>
      </c>
      <c r="E29" s="21" t="s">
        <v>179</v>
      </c>
      <c r="F29" s="21"/>
      <c r="G29" s="21"/>
      <c r="H29" s="21"/>
      <c r="I29" s="21"/>
    </row>
    <row r="30" customFormat="false" ht="15" hidden="false" customHeight="false" outlineLevel="0" collapsed="false">
      <c r="A30" s="5" t="s">
        <v>180</v>
      </c>
      <c r="B30" s="26" t="n">
        <v>3</v>
      </c>
      <c r="C30" s="31" t="n">
        <f aca="false">IFERROR(B30/$B$28,0)</f>
        <v>0.103448275862069</v>
      </c>
      <c r="E30" s="21" t="s">
        <v>181</v>
      </c>
      <c r="F30" s="21"/>
      <c r="G30" s="21"/>
      <c r="H30" s="21"/>
      <c r="I30" s="21"/>
    </row>
    <row r="31" customFormat="false" ht="15" hidden="false" customHeight="false" outlineLevel="0" collapsed="false">
      <c r="A31" s="5" t="s">
        <v>182</v>
      </c>
      <c r="B31" s="26" t="n">
        <v>0</v>
      </c>
      <c r="C31" s="31" t="n">
        <f aca="false">IFERROR(B31/$B$28,0)</f>
        <v>0</v>
      </c>
      <c r="E31" s="21" t="s">
        <v>183</v>
      </c>
      <c r="F31" s="21"/>
      <c r="G31" s="21"/>
      <c r="H31" s="21"/>
      <c r="I31" s="21"/>
    </row>
    <row r="33" customFormat="false" ht="15" hidden="false" customHeight="false" outlineLevel="0" collapsed="false">
      <c r="A33" s="8" t="s">
        <v>184</v>
      </c>
      <c r="B33" s="8"/>
      <c r="C33" s="8"/>
      <c r="D33" s="8"/>
      <c r="E33" s="8"/>
      <c r="F33" s="8"/>
      <c r="G33" s="8"/>
      <c r="H33" s="8"/>
      <c r="I33" s="8"/>
    </row>
    <row r="34" customFormat="false" ht="15" hidden="false" customHeight="false" outlineLevel="0" collapsed="false">
      <c r="A34" s="5" t="s">
        <v>41</v>
      </c>
      <c r="B34" s="5" t="s">
        <v>127</v>
      </c>
      <c r="C34" s="32" t="s">
        <v>185</v>
      </c>
      <c r="D34" s="32" t="s">
        <v>186</v>
      </c>
      <c r="E34" s="32" t="s">
        <v>187</v>
      </c>
      <c r="F34" s="32" t="s">
        <v>188</v>
      </c>
      <c r="G34" s="32" t="s">
        <v>189</v>
      </c>
      <c r="H34" s="32" t="s">
        <v>190</v>
      </c>
      <c r="I34" s="32" t="s">
        <v>191</v>
      </c>
      <c r="J34" s="32" t="s">
        <v>192</v>
      </c>
      <c r="K34" s="32" t="s">
        <v>193</v>
      </c>
      <c r="L34" s="32" t="s">
        <v>194</v>
      </c>
      <c r="M34" s="32" t="s">
        <v>195</v>
      </c>
      <c r="N34" s="32" t="s">
        <v>196</v>
      </c>
      <c r="O34" s="32" t="s">
        <v>197</v>
      </c>
    </row>
    <row r="35" customFormat="false" ht="15" hidden="false" customHeight="false" outlineLevel="0" collapsed="false">
      <c r="A35" s="5" t="s">
        <v>198</v>
      </c>
      <c r="B35" s="23" t="s">
        <v>199</v>
      </c>
      <c r="C35" s="33" t="n">
        <v>1</v>
      </c>
      <c r="D35" s="33" t="n">
        <v>11</v>
      </c>
      <c r="E35" s="33" t="n">
        <v>1</v>
      </c>
      <c r="F35" s="33" t="n">
        <v>1</v>
      </c>
      <c r="G35" s="33" t="n">
        <v>0</v>
      </c>
      <c r="H35" s="33" t="n">
        <v>0</v>
      </c>
      <c r="I35" s="33" t="n">
        <v>1</v>
      </c>
      <c r="J35" s="33" t="n">
        <v>0</v>
      </c>
      <c r="K35" s="33" t="n">
        <v>0</v>
      </c>
      <c r="L35" s="33" t="n">
        <v>0</v>
      </c>
      <c r="M35" s="33" t="n">
        <v>12</v>
      </c>
      <c r="N35" s="33" t="n">
        <v>3</v>
      </c>
      <c r="O35" s="29" t="n">
        <f aca="false">SUM(C35:N35)</f>
        <v>30</v>
      </c>
    </row>
    <row r="36" customFormat="false" ht="15" hidden="false" customHeight="false" outlineLevel="0" collapsed="false">
      <c r="A36" s="5" t="s">
        <v>200</v>
      </c>
      <c r="B36" s="23" t="s">
        <v>201</v>
      </c>
      <c r="C36" s="33" t="n">
        <v>1</v>
      </c>
      <c r="D36" s="33" t="n">
        <v>2</v>
      </c>
      <c r="E36" s="33" t="n">
        <v>1</v>
      </c>
      <c r="F36" s="33" t="n">
        <v>1</v>
      </c>
      <c r="G36" s="33" t="n">
        <v>0</v>
      </c>
      <c r="H36" s="33" t="n">
        <v>0</v>
      </c>
      <c r="I36" s="33" t="n">
        <v>1</v>
      </c>
      <c r="J36" s="33" t="n">
        <v>0</v>
      </c>
      <c r="K36" s="33" t="n">
        <v>0</v>
      </c>
      <c r="L36" s="33" t="n">
        <v>0</v>
      </c>
      <c r="M36" s="33" t="n">
        <v>3</v>
      </c>
      <c r="N36" s="33" t="n">
        <v>0</v>
      </c>
      <c r="O36" s="29" t="n">
        <f aca="false">SUM(C36:N36)</f>
        <v>9</v>
      </c>
    </row>
    <row r="37" customFormat="false" ht="15" hidden="false" customHeight="false" outlineLevel="0" collapsed="false">
      <c r="A37" s="5" t="s">
        <v>202</v>
      </c>
      <c r="B37" s="23" t="s">
        <v>203</v>
      </c>
      <c r="C37" s="33" t="n">
        <v>0</v>
      </c>
      <c r="D37" s="33" t="n">
        <v>9</v>
      </c>
      <c r="E37" s="33" t="n">
        <v>0</v>
      </c>
      <c r="F37" s="33" t="n">
        <v>0</v>
      </c>
      <c r="G37" s="33" t="n">
        <v>0</v>
      </c>
      <c r="H37" s="33" t="n">
        <v>0</v>
      </c>
      <c r="I37" s="33" t="n">
        <v>0</v>
      </c>
      <c r="J37" s="33" t="n">
        <v>0</v>
      </c>
      <c r="K37" s="33" t="n">
        <v>0</v>
      </c>
      <c r="L37" s="33" t="n">
        <v>0</v>
      </c>
      <c r="M37" s="33" t="n">
        <v>9</v>
      </c>
      <c r="N37" s="33" t="n">
        <v>3</v>
      </c>
      <c r="O37" s="29" t="n">
        <f aca="false">SUM(C37:N37)</f>
        <v>21</v>
      </c>
    </row>
    <row r="38" customFormat="false" ht="15" hidden="false" customHeight="false" outlineLevel="0" collapsed="false">
      <c r="A38" s="5" t="s">
        <v>204</v>
      </c>
      <c r="B38" s="23" t="s">
        <v>205</v>
      </c>
      <c r="C38" s="33" t="n">
        <v>1</v>
      </c>
      <c r="D38" s="33" t="n">
        <v>7</v>
      </c>
      <c r="E38" s="33" t="n">
        <v>0</v>
      </c>
      <c r="F38" s="33" t="n">
        <v>0</v>
      </c>
      <c r="G38" s="33" t="n">
        <v>0</v>
      </c>
      <c r="H38" s="33" t="n">
        <v>0</v>
      </c>
      <c r="I38" s="33" t="n">
        <v>0</v>
      </c>
      <c r="J38" s="33" t="n">
        <v>0</v>
      </c>
      <c r="K38" s="33" t="n">
        <v>0</v>
      </c>
      <c r="L38" s="33" t="n">
        <v>0</v>
      </c>
      <c r="M38" s="33" t="n">
        <v>11</v>
      </c>
      <c r="N38" s="33" t="n">
        <v>2</v>
      </c>
      <c r="O38" s="29" t="n">
        <f aca="false">SUM(C38:N38)</f>
        <v>21</v>
      </c>
    </row>
    <row r="39" customFormat="false" ht="15" hidden="false" customHeight="false" outlineLevel="0" collapsed="false">
      <c r="A39" s="34" t="s">
        <v>206</v>
      </c>
      <c r="B39" s="23" t="s">
        <v>207</v>
      </c>
      <c r="C39" s="31" t="n">
        <f aca="false">IFERROR(C38/C35,"")</f>
        <v>1</v>
      </c>
      <c r="D39" s="31" t="n">
        <f aca="false">IFERROR(D38/D35,"")</f>
        <v>0.636363636363636</v>
      </c>
      <c r="E39" s="31" t="n">
        <f aca="false">IFERROR(E38/E35,"")</f>
        <v>0</v>
      </c>
      <c r="F39" s="31" t="n">
        <f aca="false">IFERROR(F38/F35,"")</f>
        <v>0</v>
      </c>
      <c r="G39" s="31" t="str">
        <f aca="false">IFERROR(G38/G35,"")</f>
        <v/>
      </c>
      <c r="H39" s="31" t="str">
        <f aca="false">IFERROR(H38/H35,"")</f>
        <v/>
      </c>
      <c r="I39" s="31" t="n">
        <f aca="false">IFERROR(I38/I35,"")</f>
        <v>0</v>
      </c>
      <c r="J39" s="31" t="str">
        <f aca="false">IFERROR(J38/J35,"")</f>
        <v/>
      </c>
      <c r="K39" s="31" t="str">
        <f aca="false">IFERROR(K38/K35,"")</f>
        <v/>
      </c>
      <c r="L39" s="31" t="str">
        <f aca="false">IFERROR(L38/L35,"")</f>
        <v/>
      </c>
      <c r="M39" s="31" t="n">
        <f aca="false">IFERROR(M38/M35,"")</f>
        <v>0.916666666666667</v>
      </c>
      <c r="N39" s="31" t="n">
        <f aca="false">IFERROR(N38/N35,"")</f>
        <v>0.666666666666667</v>
      </c>
      <c r="O39" s="35" t="n">
        <f aca="false">IFERROR(O38/O35,"")</f>
        <v>0.7</v>
      </c>
    </row>
    <row r="40" customFormat="false" ht="15" hidden="false" customHeight="false" outlineLevel="0" collapsed="false">
      <c r="A40" s="5" t="s">
        <v>208</v>
      </c>
      <c r="B40" s="23" t="s">
        <v>209</v>
      </c>
      <c r="C40" s="33" t="n">
        <v>0</v>
      </c>
      <c r="D40" s="33" t="n">
        <v>0</v>
      </c>
      <c r="E40" s="33" t="n">
        <v>0</v>
      </c>
      <c r="F40" s="33" t="n">
        <v>0</v>
      </c>
      <c r="G40" s="33" t="n">
        <v>0</v>
      </c>
      <c r="H40" s="33" t="n">
        <v>0</v>
      </c>
      <c r="I40" s="33" t="n">
        <v>0</v>
      </c>
      <c r="J40" s="33" t="n">
        <v>0</v>
      </c>
      <c r="K40" s="33" t="n">
        <v>6</v>
      </c>
      <c r="L40" s="33" t="n">
        <v>3</v>
      </c>
      <c r="M40" s="33" t="n">
        <v>16</v>
      </c>
      <c r="N40" s="33" t="n">
        <v>5</v>
      </c>
      <c r="O40" s="29" t="n">
        <f aca="false">SUM(C40:N40)</f>
        <v>30</v>
      </c>
    </row>
    <row r="41" customFormat="false" ht="15" hidden="false" customHeight="false" outlineLevel="0" collapsed="false">
      <c r="A41" s="5" t="s">
        <v>210</v>
      </c>
      <c r="B41" s="23" t="s">
        <v>211</v>
      </c>
      <c r="C41" s="33" t="n">
        <v>0</v>
      </c>
      <c r="D41" s="33" t="n">
        <v>0</v>
      </c>
      <c r="E41" s="33" t="n">
        <v>0</v>
      </c>
      <c r="F41" s="33" t="n">
        <v>0</v>
      </c>
      <c r="G41" s="33" t="n">
        <v>0</v>
      </c>
      <c r="H41" s="33" t="n">
        <v>0</v>
      </c>
      <c r="I41" s="33" t="n">
        <v>0</v>
      </c>
      <c r="J41" s="33" t="n">
        <v>0</v>
      </c>
      <c r="K41" s="33" t="n">
        <v>0</v>
      </c>
      <c r="L41" s="33" t="n">
        <v>19</v>
      </c>
      <c r="M41" s="33" t="n">
        <v>65</v>
      </c>
      <c r="N41" s="33" t="n">
        <v>6</v>
      </c>
      <c r="O41" s="29" t="n">
        <f aca="false">SUM(C41:N41)</f>
        <v>90</v>
      </c>
    </row>
    <row r="42" customFormat="false" ht="15" hidden="false" customHeight="false" outlineLevel="0" collapsed="false">
      <c r="A42" s="5" t="s">
        <v>212</v>
      </c>
      <c r="B42" s="23" t="s">
        <v>213</v>
      </c>
      <c r="C42" s="33" t="n">
        <v>0</v>
      </c>
      <c r="D42" s="33" t="n">
        <v>0</v>
      </c>
      <c r="E42" s="33" t="n">
        <v>0</v>
      </c>
      <c r="F42" s="33" t="n">
        <v>0</v>
      </c>
      <c r="G42" s="33" t="n">
        <v>0</v>
      </c>
      <c r="H42" s="33" t="n">
        <v>0</v>
      </c>
      <c r="I42" s="33" t="n">
        <v>0</v>
      </c>
      <c r="J42" s="33" t="n">
        <v>0</v>
      </c>
      <c r="K42" s="33" t="n">
        <v>0</v>
      </c>
      <c r="L42" s="33" t="n">
        <v>0</v>
      </c>
      <c r="M42" s="33" t="n">
        <v>0</v>
      </c>
      <c r="N42" s="33" t="n">
        <v>0</v>
      </c>
      <c r="O42" s="29" t="n">
        <f aca="false">N42</f>
        <v>0</v>
      </c>
    </row>
  </sheetData>
  <mergeCells count="19">
    <mergeCell ref="A1:I1"/>
    <mergeCell ref="A2:I2"/>
    <mergeCell ref="A6:I6"/>
    <mergeCell ref="G7:I7"/>
    <mergeCell ref="G8:I8"/>
    <mergeCell ref="G9:I9"/>
    <mergeCell ref="G10:I10"/>
    <mergeCell ref="G11:I11"/>
    <mergeCell ref="G12:I12"/>
    <mergeCell ref="G13:I13"/>
    <mergeCell ref="G14:I14"/>
    <mergeCell ref="E16:I16"/>
    <mergeCell ref="A18:I18"/>
    <mergeCell ref="A26:I26"/>
    <mergeCell ref="E28:I28"/>
    <mergeCell ref="E29:I29"/>
    <mergeCell ref="E30:I30"/>
    <mergeCell ref="E31:I31"/>
    <mergeCell ref="A33:I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5"/>
    <col collapsed="false" customWidth="true" hidden="false" outlineLevel="0" max="8" min="8" style="0" width="6"/>
    <col collapsed="false" customWidth="true" hidden="false" outlineLevel="0" max="9" min="9" style="0" width="44"/>
    <col collapsed="false" customWidth="true" hidden="false" outlineLevel="0" max="10" min="10" style="0" width="20"/>
  </cols>
  <sheetData>
    <row r="1" customFormat="false" ht="24" hidden="false" customHeight="true" outlineLevel="0" collapsed="false">
      <c r="A1" s="1" t="s">
        <v>214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3.5" hidden="false" customHeight="true" outlineLevel="0" collapsed="false">
      <c r="A2" s="2" t="s">
        <v>215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8" t="s">
        <v>216</v>
      </c>
      <c r="B4" s="8"/>
      <c r="C4" s="8"/>
      <c r="D4" s="8"/>
      <c r="E4" s="8"/>
      <c r="F4" s="8"/>
      <c r="G4" s="8"/>
      <c r="H4" s="8"/>
      <c r="I4" s="8"/>
      <c r="J4" s="8"/>
    </row>
    <row r="5" customFormat="false" ht="15" hidden="false" customHeight="false" outlineLevel="0" collapsed="false">
      <c r="A5" s="4" t="s">
        <v>217</v>
      </c>
      <c r="B5" s="36" t="n">
        <v>129</v>
      </c>
      <c r="C5" s="23" t="s">
        <v>218</v>
      </c>
    </row>
    <row r="6" customFormat="false" ht="15" hidden="false" customHeight="false" outlineLevel="0" collapsed="false">
      <c r="A6" s="4" t="s">
        <v>219</v>
      </c>
      <c r="B6" s="36" t="n">
        <v>349</v>
      </c>
      <c r="C6" s="23" t="s">
        <v>218</v>
      </c>
    </row>
    <row r="7" customFormat="false" ht="15" hidden="false" customHeight="false" outlineLevel="0" collapsed="false">
      <c r="A7" s="4" t="s">
        <v>220</v>
      </c>
      <c r="B7" s="36" t="n">
        <v>699</v>
      </c>
      <c r="C7" s="23" t="s">
        <v>218</v>
      </c>
    </row>
    <row r="8" customFormat="false" ht="15" hidden="false" customHeight="false" outlineLevel="0" collapsed="false">
      <c r="A8" s="4" t="s">
        <v>221</v>
      </c>
      <c r="B8" s="37" t="n">
        <v>0.6</v>
      </c>
      <c r="C8" s="23" t="s">
        <v>222</v>
      </c>
    </row>
    <row r="9" customFormat="false" ht="15" hidden="false" customHeight="false" outlineLevel="0" collapsed="false">
      <c r="A9" s="4" t="s">
        <v>223</v>
      </c>
      <c r="B9" s="37" t="n">
        <v>0.32</v>
      </c>
    </row>
    <row r="10" customFormat="false" ht="15" hidden="false" customHeight="false" outlineLevel="0" collapsed="false">
      <c r="A10" s="4" t="s">
        <v>224</v>
      </c>
      <c r="B10" s="37" t="n">
        <v>0.08</v>
      </c>
    </row>
    <row r="11" customFormat="false" ht="15" hidden="false" customHeight="false" outlineLevel="0" collapsed="false">
      <c r="A11" s="4" t="s">
        <v>225</v>
      </c>
      <c r="B11" s="31" t="n">
        <f aca="false">B8+B9+B10</f>
        <v>1</v>
      </c>
      <c r="C11" s="5" t="str">
        <f aca="false">IF(ROUND(B11,4)=1,"OK","FIX MIX")</f>
        <v>OK</v>
      </c>
    </row>
    <row r="12" customFormat="false" ht="15" hidden="false" customHeight="false" outlineLevel="0" collapsed="false">
      <c r="A12" s="5" t="s">
        <v>226</v>
      </c>
      <c r="B12" s="38" t="n">
        <f aca="false">B5*B8+B6*B9+B7*B10</f>
        <v>245</v>
      </c>
      <c r="C12" s="23" t="s">
        <v>227</v>
      </c>
    </row>
    <row r="13" customFormat="false" ht="15" hidden="false" customHeight="false" outlineLevel="0" collapsed="false">
      <c r="A13" s="4" t="s">
        <v>228</v>
      </c>
      <c r="B13" s="37" t="n">
        <v>0.2</v>
      </c>
      <c r="C13" s="23" t="s">
        <v>229</v>
      </c>
    </row>
    <row r="14" customFormat="false" ht="15" hidden="false" customHeight="false" outlineLevel="0" collapsed="false">
      <c r="A14" s="4" t="s">
        <v>230</v>
      </c>
      <c r="B14" s="39" t="n">
        <v>0.1667</v>
      </c>
      <c r="C14" s="23" t="s">
        <v>231</v>
      </c>
    </row>
    <row r="15" customFormat="false" ht="15" hidden="false" customHeight="false" outlineLevel="0" collapsed="false">
      <c r="A15" s="5" t="s">
        <v>232</v>
      </c>
      <c r="B15" s="38" t="n">
        <f aca="false">B12*(1-B13*B14)</f>
        <v>236.8317</v>
      </c>
      <c r="C15" s="23" t="s">
        <v>233</v>
      </c>
    </row>
    <row r="17" customFormat="false" ht="15" hidden="false" customHeight="false" outlineLevel="0" collapsed="false">
      <c r="A17" s="8" t="s">
        <v>234</v>
      </c>
      <c r="B17" s="8"/>
      <c r="C17" s="8"/>
      <c r="D17" s="8"/>
      <c r="E17" s="8"/>
      <c r="F17" s="8"/>
      <c r="G17" s="8"/>
      <c r="H17" s="8"/>
      <c r="I17" s="8"/>
      <c r="J17" s="8"/>
    </row>
    <row r="18" customFormat="false" ht="15" hidden="false" customHeight="false" outlineLevel="0" collapsed="false">
      <c r="A18" s="4" t="s">
        <v>235</v>
      </c>
      <c r="B18" s="25" t="n">
        <v>41</v>
      </c>
      <c r="C18" s="23" t="s">
        <v>236</v>
      </c>
    </row>
    <row r="19" customFormat="false" ht="15" hidden="false" customHeight="false" outlineLevel="0" collapsed="false">
      <c r="A19" s="4" t="s">
        <v>237</v>
      </c>
      <c r="B19" s="37" t="n">
        <v>0.025</v>
      </c>
      <c r="C19" s="23" t="s">
        <v>238</v>
      </c>
    </row>
    <row r="20" customFormat="false" ht="15" hidden="false" customHeight="false" outlineLevel="0" collapsed="false">
      <c r="A20" s="4" t="s">
        <v>239</v>
      </c>
      <c r="B20" s="37" t="n">
        <v>0.7</v>
      </c>
      <c r="C20" s="23" t="s">
        <v>240</v>
      </c>
    </row>
    <row r="21" customFormat="false" ht="15" hidden="false" customHeight="false" outlineLevel="0" collapsed="false">
      <c r="A21" s="4" t="s">
        <v>241</v>
      </c>
      <c r="B21" s="37" t="n">
        <v>0.12</v>
      </c>
      <c r="C21" s="23" t="s">
        <v>242</v>
      </c>
    </row>
    <row r="22" customFormat="false" ht="15" hidden="false" customHeight="false" outlineLevel="0" collapsed="false">
      <c r="A22" s="34" t="s">
        <v>243</v>
      </c>
      <c r="B22" s="40" t="n">
        <f aca="false">B18*B19</f>
        <v>1.025</v>
      </c>
    </row>
    <row r="23" customFormat="false" ht="15" hidden="false" customHeight="false" outlineLevel="0" collapsed="false">
      <c r="A23" s="34" t="s">
        <v>244</v>
      </c>
      <c r="B23" s="40" t="n">
        <f aca="false">B22*B20</f>
        <v>0.7175</v>
      </c>
    </row>
    <row r="24" customFormat="false" ht="15" hidden="false" customHeight="false" outlineLevel="0" collapsed="false">
      <c r="A24" s="41" t="s">
        <v>245</v>
      </c>
      <c r="B24" s="42" t="n">
        <f aca="false">B23*B21</f>
        <v>0.0861</v>
      </c>
    </row>
    <row r="26" customFormat="false" ht="15" hidden="false" customHeight="false" outlineLevel="0" collapsed="false">
      <c r="A26" s="8" t="s">
        <v>246</v>
      </c>
      <c r="B26" s="8"/>
      <c r="C26" s="8"/>
      <c r="D26" s="8"/>
      <c r="E26" s="8"/>
      <c r="F26" s="8"/>
      <c r="G26" s="8"/>
      <c r="H26" s="8"/>
      <c r="I26" s="8"/>
      <c r="J26" s="8"/>
    </row>
    <row r="27" customFormat="false" ht="15" hidden="false" customHeight="false" outlineLevel="0" collapsed="false">
      <c r="A27" s="4" t="s">
        <v>247</v>
      </c>
      <c r="B27" s="25" t="n">
        <v>12</v>
      </c>
      <c r="C27" s="23" t="s">
        <v>248</v>
      </c>
    </row>
    <row r="28" customFormat="false" ht="15" hidden="false" customHeight="false" outlineLevel="0" collapsed="false">
      <c r="A28" s="4" t="s">
        <v>249</v>
      </c>
      <c r="B28" s="25" t="n">
        <v>15</v>
      </c>
      <c r="C28" s="23" t="s">
        <v>250</v>
      </c>
    </row>
    <row r="29" customFormat="false" ht="15" hidden="false" customHeight="false" outlineLevel="0" collapsed="false">
      <c r="A29" s="4" t="s">
        <v>251</v>
      </c>
      <c r="B29" s="25" t="n">
        <v>22</v>
      </c>
      <c r="C29" s="23" t="s">
        <v>252</v>
      </c>
    </row>
    <row r="30" customFormat="false" ht="15" hidden="false" customHeight="false" outlineLevel="0" collapsed="false">
      <c r="A30" s="34" t="s">
        <v>253</v>
      </c>
      <c r="B30" s="14" t="n">
        <f aca="false">B27*B28*B29</f>
        <v>3960</v>
      </c>
    </row>
    <row r="31" customFormat="false" ht="15" hidden="false" customHeight="false" outlineLevel="0" collapsed="false">
      <c r="A31" s="4" t="s">
        <v>254</v>
      </c>
      <c r="B31" s="37" t="n">
        <v>0.02</v>
      </c>
      <c r="C31" s="23" t="s">
        <v>255</v>
      </c>
    </row>
    <row r="32" customFormat="false" ht="15" hidden="false" customHeight="false" outlineLevel="0" collapsed="false">
      <c r="A32" s="34" t="s">
        <v>256</v>
      </c>
      <c r="B32" s="14" t="n">
        <f aca="false">B30*(1-B31)</f>
        <v>3880.8</v>
      </c>
    </row>
    <row r="33" customFormat="false" ht="15" hidden="false" customHeight="false" outlineLevel="0" collapsed="false">
      <c r="A33" s="4" t="s">
        <v>257</v>
      </c>
      <c r="B33" s="37" t="n">
        <v>0.034</v>
      </c>
      <c r="C33" s="23" t="s">
        <v>258</v>
      </c>
    </row>
    <row r="34" customFormat="false" ht="15" hidden="false" customHeight="false" outlineLevel="0" collapsed="false">
      <c r="A34" s="4" t="s">
        <v>259</v>
      </c>
      <c r="B34" s="37" t="n">
        <v>0.33</v>
      </c>
      <c r="C34" s="23" t="s">
        <v>260</v>
      </c>
    </row>
    <row r="35" customFormat="false" ht="15" hidden="false" customHeight="false" outlineLevel="0" collapsed="false">
      <c r="A35" s="4" t="s">
        <v>261</v>
      </c>
      <c r="B35" s="37" t="n">
        <v>0.42</v>
      </c>
    </row>
    <row r="36" customFormat="false" ht="15" hidden="false" customHeight="false" outlineLevel="0" collapsed="false">
      <c r="A36" s="4" t="s">
        <v>262</v>
      </c>
      <c r="B36" s="37" t="n">
        <v>0.65</v>
      </c>
    </row>
    <row r="37" customFormat="false" ht="15" hidden="false" customHeight="false" outlineLevel="0" collapsed="false">
      <c r="A37" s="4" t="s">
        <v>263</v>
      </c>
      <c r="B37" s="37" t="n">
        <v>0.3</v>
      </c>
      <c r="C37" s="23" t="s">
        <v>264</v>
      </c>
    </row>
    <row r="38" customFormat="false" ht="15" hidden="false" customHeight="false" outlineLevel="0" collapsed="false">
      <c r="A38" s="34" t="s">
        <v>265</v>
      </c>
      <c r="B38" s="40" t="n">
        <f aca="false">B32*B33</f>
        <v>131.9472</v>
      </c>
    </row>
    <row r="39" customFormat="false" ht="15" hidden="false" customHeight="false" outlineLevel="0" collapsed="false">
      <c r="A39" s="34" t="s">
        <v>266</v>
      </c>
      <c r="B39" s="40" t="n">
        <f aca="false">B38*B34</f>
        <v>43.542576</v>
      </c>
    </row>
    <row r="40" customFormat="false" ht="15" hidden="false" customHeight="false" outlineLevel="0" collapsed="false">
      <c r="A40" s="34" t="s">
        <v>267</v>
      </c>
      <c r="B40" s="40" t="n">
        <f aca="false">B39*B35</f>
        <v>18.28788192</v>
      </c>
    </row>
    <row r="41" customFormat="false" ht="15" hidden="false" customHeight="false" outlineLevel="0" collapsed="false">
      <c r="A41" s="34" t="s">
        <v>268</v>
      </c>
      <c r="B41" s="40" t="n">
        <f aca="false">B40*B36</f>
        <v>11.887123248</v>
      </c>
    </row>
    <row r="42" customFormat="false" ht="15" hidden="false" customHeight="false" outlineLevel="0" collapsed="false">
      <c r="A42" s="41" t="s">
        <v>269</v>
      </c>
      <c r="B42" s="42" t="n">
        <f aca="false">B41*B37</f>
        <v>3.5661369744</v>
      </c>
    </row>
    <row r="44" customFormat="false" ht="15" hidden="false" customHeight="false" outlineLevel="0" collapsed="false">
      <c r="A44" s="8" t="s">
        <v>270</v>
      </c>
      <c r="B44" s="8"/>
      <c r="C44" s="8"/>
      <c r="D44" s="8"/>
      <c r="E44" s="8"/>
      <c r="F44" s="8"/>
      <c r="G44" s="8"/>
      <c r="H44" s="8"/>
      <c r="I44" s="8"/>
      <c r="J44" s="8"/>
    </row>
    <row r="45" customFormat="false" ht="15" hidden="false" customHeight="false" outlineLevel="0" collapsed="false">
      <c r="A45" s="4" t="s">
        <v>271</v>
      </c>
      <c r="B45" s="25" t="n">
        <v>2</v>
      </c>
      <c r="C45" s="23" t="s">
        <v>272</v>
      </c>
    </row>
    <row r="46" customFormat="false" ht="15" hidden="false" customHeight="false" outlineLevel="0" collapsed="false">
      <c r="A46" s="4" t="s">
        <v>273</v>
      </c>
      <c r="B46" s="37" t="n">
        <v>0.25</v>
      </c>
      <c r="C46" s="23" t="s">
        <v>274</v>
      </c>
    </row>
    <row r="47" customFormat="false" ht="15" hidden="false" customHeight="false" outlineLevel="0" collapsed="false">
      <c r="A47" s="41" t="s">
        <v>275</v>
      </c>
      <c r="B47" s="42" t="n">
        <f aca="false">B45*B46</f>
        <v>0.5</v>
      </c>
    </row>
    <row r="49" customFormat="false" ht="15" hidden="false" customHeight="false" outlineLevel="0" collapsed="false">
      <c r="A49" s="8" t="s">
        <v>276</v>
      </c>
      <c r="B49" s="8"/>
      <c r="C49" s="8"/>
      <c r="D49" s="8"/>
      <c r="E49" s="8"/>
      <c r="F49" s="8"/>
      <c r="G49" s="8"/>
      <c r="H49" s="8"/>
      <c r="I49" s="8"/>
      <c r="J49" s="8"/>
    </row>
    <row r="50" customFormat="false" ht="15" hidden="false" customHeight="false" outlineLevel="0" collapsed="false">
      <c r="A50" s="4" t="s">
        <v>277</v>
      </c>
      <c r="B50" s="37" t="n">
        <v>0.05</v>
      </c>
      <c r="C50" s="23" t="s">
        <v>278</v>
      </c>
    </row>
    <row r="51" customFormat="false" ht="15" hidden="false" customHeight="false" outlineLevel="0" collapsed="false">
      <c r="A51" s="4" t="s">
        <v>279</v>
      </c>
      <c r="B51" s="37" t="n">
        <v>0.01</v>
      </c>
      <c r="C51" s="23" t="s">
        <v>280</v>
      </c>
    </row>
    <row r="52" customFormat="false" ht="15" hidden="false" customHeight="false" outlineLevel="0" collapsed="false">
      <c r="A52" s="4" t="s">
        <v>281</v>
      </c>
      <c r="B52" s="37" t="n">
        <v>0.85</v>
      </c>
      <c r="C52" s="23" t="s">
        <v>282</v>
      </c>
    </row>
    <row r="53" customFormat="false" ht="15" hidden="false" customHeight="false" outlineLevel="0" collapsed="false">
      <c r="A53" s="4" t="s">
        <v>283</v>
      </c>
      <c r="B53" s="36" t="n">
        <v>0</v>
      </c>
      <c r="C53" s="23" t="s">
        <v>284</v>
      </c>
    </row>
    <row r="54" customFormat="false" ht="15" hidden="false" customHeight="false" outlineLevel="0" collapsed="false">
      <c r="A54" s="4" t="s">
        <v>285</v>
      </c>
      <c r="B54" s="43" t="n">
        <f aca="false">Expenses!C20</f>
        <v>257.75</v>
      </c>
      <c r="C54" s="23" t="s">
        <v>286</v>
      </c>
    </row>
    <row r="55" customFormat="false" ht="15" hidden="false" customHeight="false" outlineLevel="0" collapsed="false">
      <c r="A55" s="4" t="s">
        <v>287</v>
      </c>
      <c r="B55" s="36" t="n">
        <v>0</v>
      </c>
      <c r="C55" s="23" t="s">
        <v>288</v>
      </c>
    </row>
    <row r="56" customFormat="false" ht="15" hidden="false" customHeight="false" outlineLevel="0" collapsed="false">
      <c r="A56" s="4" t="s">
        <v>289</v>
      </c>
      <c r="B56" s="36" t="n">
        <v>5000</v>
      </c>
      <c r="C56" s="23" t="s">
        <v>290</v>
      </c>
    </row>
    <row r="57" customFormat="false" ht="15" hidden="false" customHeight="false" outlineLevel="0" collapsed="false">
      <c r="A57" s="3" t="s">
        <v>291</v>
      </c>
      <c r="B57" s="44" t="s">
        <v>292</v>
      </c>
      <c r="C57" s="44"/>
      <c r="D57" s="44"/>
      <c r="E57" s="44"/>
      <c r="F57" s="44"/>
      <c r="G57" s="44"/>
      <c r="H57" s="44"/>
      <c r="I57" s="44"/>
    </row>
    <row r="59" customFormat="false" ht="15" hidden="false" customHeight="false" outlineLevel="0" collapsed="false">
      <c r="A59" s="8" t="s">
        <v>293</v>
      </c>
      <c r="B59" s="8"/>
      <c r="C59" s="8"/>
      <c r="D59" s="8"/>
      <c r="E59" s="8"/>
      <c r="F59" s="8"/>
      <c r="G59" s="8"/>
      <c r="H59" s="8"/>
      <c r="I59" s="8"/>
      <c r="J59" s="8"/>
    </row>
    <row r="60" customFormat="false" ht="15" hidden="false" customHeight="false" outlineLevel="0" collapsed="false">
      <c r="A60" s="9" t="s">
        <v>41</v>
      </c>
      <c r="B60" s="9" t="s">
        <v>42</v>
      </c>
      <c r="C60" s="9"/>
      <c r="D60" s="9" t="s">
        <v>126</v>
      </c>
      <c r="E60" s="9"/>
      <c r="F60" s="9"/>
      <c r="G60" s="9"/>
      <c r="H60" s="9"/>
      <c r="I60" s="9" t="s">
        <v>294</v>
      </c>
    </row>
    <row r="61" customFormat="false" ht="15" hidden="false" customHeight="false" outlineLevel="0" collapsed="false">
      <c r="A61" s="5" t="s">
        <v>295</v>
      </c>
      <c r="B61" s="42" t="n">
        <f aca="false">B24+B42+B47</f>
        <v>4.1522369744</v>
      </c>
      <c r="D61" s="21" t="s">
        <v>56</v>
      </c>
      <c r="E61" s="21"/>
      <c r="F61" s="21"/>
      <c r="G61" s="21"/>
      <c r="H61" s="21"/>
      <c r="I61" s="7" t="s">
        <v>296</v>
      </c>
    </row>
    <row r="62" customFormat="false" ht="15" hidden="false" customHeight="false" outlineLevel="0" collapsed="false">
      <c r="A62" s="5" t="s">
        <v>297</v>
      </c>
      <c r="B62" s="38" t="n">
        <f aca="false">B61*B15</f>
        <v>983.381341450008</v>
      </c>
      <c r="D62" s="21" t="s">
        <v>56</v>
      </c>
      <c r="E62" s="21"/>
      <c r="F62" s="21"/>
      <c r="G62" s="21"/>
      <c r="H62" s="21"/>
      <c r="I62" s="7" t="s">
        <v>298</v>
      </c>
    </row>
    <row r="63" customFormat="false" ht="15" hidden="false" customHeight="false" outlineLevel="0" collapsed="false">
      <c r="A63" s="5" t="s">
        <v>299</v>
      </c>
      <c r="B63" s="38" t="n">
        <f aca="false">B53+B54+B55+B56</f>
        <v>5257.75</v>
      </c>
      <c r="D63" s="21" t="s">
        <v>56</v>
      </c>
      <c r="E63" s="21"/>
      <c r="F63" s="21"/>
      <c r="G63" s="21"/>
      <c r="H63" s="21"/>
      <c r="I63" s="7" t="s">
        <v>300</v>
      </c>
    </row>
    <row r="64" customFormat="false" ht="15" hidden="false" customHeight="false" outlineLevel="0" collapsed="false">
      <c r="A64" s="5" t="s">
        <v>301</v>
      </c>
      <c r="B64" s="38" t="n">
        <f aca="false">IFERROR(B63/B61,0)</f>
        <v>1266.24516674166</v>
      </c>
      <c r="D64" s="21" t="s">
        <v>302</v>
      </c>
      <c r="E64" s="21"/>
      <c r="F64" s="21"/>
      <c r="G64" s="21"/>
      <c r="H64" s="21"/>
      <c r="I64" s="7" t="s">
        <v>303</v>
      </c>
    </row>
    <row r="65" customFormat="false" ht="15" hidden="false" customHeight="false" outlineLevel="0" collapsed="false">
      <c r="A65" s="5" t="s">
        <v>304</v>
      </c>
      <c r="B65" s="38" t="n">
        <f aca="false">IFERROR(B53/B24,0)</f>
        <v>0</v>
      </c>
      <c r="D65" s="21" t="s">
        <v>56</v>
      </c>
      <c r="E65" s="21"/>
      <c r="F65" s="21"/>
      <c r="G65" s="21"/>
      <c r="H65" s="21"/>
      <c r="I65" s="7" t="s">
        <v>305</v>
      </c>
    </row>
    <row r="66" customFormat="false" ht="15" hidden="false" customHeight="false" outlineLevel="0" collapsed="false">
      <c r="A66" s="5" t="s">
        <v>306</v>
      </c>
      <c r="B66" s="38" t="n">
        <f aca="false">IFERROR(B54/B42,0)</f>
        <v>72.2770891444421</v>
      </c>
      <c r="D66" s="21" t="s">
        <v>56</v>
      </c>
      <c r="E66" s="21"/>
      <c r="F66" s="21"/>
      <c r="G66" s="21"/>
      <c r="H66" s="21"/>
      <c r="I66" s="7" t="s">
        <v>307</v>
      </c>
    </row>
    <row r="67" customFormat="false" ht="15" hidden="false" customHeight="false" outlineLevel="0" collapsed="false">
      <c r="A67" s="5" t="s">
        <v>308</v>
      </c>
      <c r="B67" s="38" t="n">
        <f aca="false">IFERROR(B15*B52/B50,0)</f>
        <v>4026.1389</v>
      </c>
      <c r="D67" s="21" t="s">
        <v>56</v>
      </c>
      <c r="E67" s="21"/>
      <c r="F67" s="21"/>
      <c r="G67" s="21"/>
      <c r="H67" s="21"/>
      <c r="I67" s="7" t="s">
        <v>309</v>
      </c>
    </row>
    <row r="68" customFormat="false" ht="15" hidden="false" customHeight="false" outlineLevel="0" collapsed="false">
      <c r="A68" s="5" t="s">
        <v>310</v>
      </c>
      <c r="B68" s="45" t="n">
        <f aca="false">IFERROR(B67/B64,0)</f>
        <v>3.17958876033477</v>
      </c>
      <c r="D68" s="21" t="s">
        <v>311</v>
      </c>
      <c r="E68" s="21"/>
      <c r="F68" s="21"/>
      <c r="G68" s="21"/>
      <c r="H68" s="21"/>
      <c r="I68" s="7" t="s">
        <v>312</v>
      </c>
    </row>
    <row r="69" customFormat="false" ht="15" hidden="false" customHeight="false" outlineLevel="0" collapsed="false">
      <c r="A69" s="5" t="s">
        <v>313</v>
      </c>
      <c r="B69" s="42" t="n">
        <f aca="false">IFERROR(B64/(B15*B52),0)</f>
        <v>6.29012161871344</v>
      </c>
      <c r="D69" s="21" t="s">
        <v>314</v>
      </c>
      <c r="E69" s="21"/>
      <c r="F69" s="21"/>
      <c r="G69" s="21"/>
      <c r="H69" s="21"/>
      <c r="I69" s="7" t="s">
        <v>315</v>
      </c>
    </row>
    <row r="70" customFormat="false" ht="15" hidden="false" customHeight="false" outlineLevel="0" collapsed="false">
      <c r="A70" s="5" t="s">
        <v>316</v>
      </c>
      <c r="B70" s="38" t="n">
        <f aca="false">IFERROR(B62/B50,0)</f>
        <v>19667.6268290002</v>
      </c>
      <c r="D70" s="21" t="s">
        <v>56</v>
      </c>
      <c r="E70" s="21"/>
      <c r="F70" s="21"/>
      <c r="G70" s="21"/>
      <c r="H70" s="21"/>
      <c r="I70" s="7" t="s">
        <v>317</v>
      </c>
    </row>
    <row r="71" customFormat="false" ht="15" hidden="false" customHeight="false" outlineLevel="0" collapsed="false">
      <c r="A71" s="5" t="s">
        <v>318</v>
      </c>
      <c r="B71" s="42" t="n">
        <f aca="false">IF(B70&lt;=10000,"never",LN(1-10000*B50/B62)/LN(1-B50))</f>
        <v>13.845691153503</v>
      </c>
      <c r="D71" s="21" t="s">
        <v>56</v>
      </c>
      <c r="E71" s="21"/>
      <c r="F71" s="21"/>
      <c r="G71" s="21"/>
      <c r="H71" s="21"/>
      <c r="I71" s="7" t="s">
        <v>319</v>
      </c>
    </row>
    <row r="72" customFormat="false" ht="15" hidden="false" customHeight="false" outlineLevel="0" collapsed="false">
      <c r="A72" s="5" t="s">
        <v>320</v>
      </c>
      <c r="B72" s="42" t="n">
        <f aca="false">IF(B70*B52&lt;=(Expenses!$C$22+B56),"never",LN(1-((Expenses!$C$22+B56)/B52)*B50/B62)/LN(1-B50))</f>
        <v>7.59504503340277</v>
      </c>
      <c r="D72" s="21" t="s">
        <v>56</v>
      </c>
      <c r="E72" s="21"/>
      <c r="F72" s="21"/>
      <c r="G72" s="21"/>
      <c r="H72" s="21"/>
      <c r="I72" s="7" t="s">
        <v>321</v>
      </c>
    </row>
    <row r="74" customFormat="false" ht="15" hidden="false" customHeight="false" outlineLevel="0" collapsed="false">
      <c r="A74" s="8" t="s">
        <v>322</v>
      </c>
      <c r="B74" s="8"/>
      <c r="C74" s="8"/>
      <c r="D74" s="8"/>
      <c r="E74" s="8"/>
      <c r="F74" s="8"/>
      <c r="G74" s="8"/>
      <c r="H74" s="8"/>
      <c r="I74" s="8"/>
      <c r="J74" s="8"/>
    </row>
    <row r="76" customFormat="false" ht="15" hidden="false" customHeight="false" outlineLevel="0" collapsed="false">
      <c r="A76" s="5" t="s">
        <v>323</v>
      </c>
    </row>
    <row r="77" customFormat="false" ht="15" hidden="false" customHeight="false" outlineLevel="0" collapsed="false">
      <c r="A77" s="23" t="s">
        <v>324</v>
      </c>
      <c r="B77" s="46" t="n">
        <v>150</v>
      </c>
      <c r="C77" s="46" t="n">
        <v>200</v>
      </c>
      <c r="D77" s="46" t="n">
        <v>250</v>
      </c>
      <c r="E77" s="46" t="n">
        <v>300</v>
      </c>
      <c r="F77" s="46" t="n">
        <v>350</v>
      </c>
    </row>
    <row r="78" customFormat="false" ht="15" hidden="false" customHeight="false" outlineLevel="0" collapsed="false">
      <c r="A78" s="35" t="n">
        <v>0.03</v>
      </c>
      <c r="B78" s="47" t="n">
        <f aca="false">B$77*$B$52/$A78</f>
        <v>4250</v>
      </c>
      <c r="C78" s="47" t="n">
        <f aca="false">C$77*$B$52/$A78</f>
        <v>5666.66666666667</v>
      </c>
      <c r="D78" s="47" t="n">
        <f aca="false">D$77*$B$52/$A78</f>
        <v>7083.33333333333</v>
      </c>
      <c r="E78" s="47" t="n">
        <f aca="false">E$77*$B$52/$A78</f>
        <v>8500</v>
      </c>
      <c r="F78" s="47" t="n">
        <f aca="false">F$77*$B$52/$A78</f>
        <v>9916.66666666667</v>
      </c>
    </row>
    <row r="79" customFormat="false" ht="15" hidden="false" customHeight="false" outlineLevel="0" collapsed="false">
      <c r="A79" s="35" t="n">
        <v>0.04</v>
      </c>
      <c r="B79" s="47" t="n">
        <f aca="false">B$77*$B$52/$A79</f>
        <v>3187.5</v>
      </c>
      <c r="C79" s="47" t="n">
        <f aca="false">C$77*$B$52/$A79</f>
        <v>4250</v>
      </c>
      <c r="D79" s="47" t="n">
        <f aca="false">D$77*$B$52/$A79</f>
        <v>5312.5</v>
      </c>
      <c r="E79" s="47" t="n">
        <f aca="false">E$77*$B$52/$A79</f>
        <v>6375</v>
      </c>
      <c r="F79" s="47" t="n">
        <f aca="false">F$77*$B$52/$A79</f>
        <v>7437.5</v>
      </c>
    </row>
    <row r="80" customFormat="false" ht="15" hidden="false" customHeight="false" outlineLevel="0" collapsed="false">
      <c r="A80" s="35" t="n">
        <v>0.05</v>
      </c>
      <c r="B80" s="47" t="n">
        <f aca="false">B$77*$B$52/$A80</f>
        <v>2550</v>
      </c>
      <c r="C80" s="47" t="n">
        <f aca="false">C$77*$B$52/$A80</f>
        <v>3400</v>
      </c>
      <c r="D80" s="47" t="n">
        <f aca="false">D$77*$B$52/$A80</f>
        <v>4250</v>
      </c>
      <c r="E80" s="47" t="n">
        <f aca="false">E$77*$B$52/$A80</f>
        <v>5100</v>
      </c>
      <c r="F80" s="47" t="n">
        <f aca="false">F$77*$B$52/$A80</f>
        <v>5950</v>
      </c>
    </row>
    <row r="81" customFormat="false" ht="15" hidden="false" customHeight="false" outlineLevel="0" collapsed="false">
      <c r="A81" s="35" t="n">
        <v>0.07</v>
      </c>
      <c r="B81" s="47" t="n">
        <f aca="false">B$77*$B$52/$A81</f>
        <v>1821.42857142857</v>
      </c>
      <c r="C81" s="47" t="n">
        <f aca="false">C$77*$B$52/$A81</f>
        <v>2428.57142857143</v>
      </c>
      <c r="D81" s="47" t="n">
        <f aca="false">D$77*$B$52/$A81</f>
        <v>3035.71428571429</v>
      </c>
      <c r="E81" s="47" t="n">
        <f aca="false">E$77*$B$52/$A81</f>
        <v>3642.85714285714</v>
      </c>
      <c r="F81" s="47" t="n">
        <f aca="false">F$77*$B$52/$A81</f>
        <v>4250</v>
      </c>
    </row>
    <row r="82" customFormat="false" ht="15" hidden="false" customHeight="false" outlineLevel="0" collapsed="false">
      <c r="A82" s="35" t="n">
        <v>0.1</v>
      </c>
      <c r="B82" s="47" t="n">
        <f aca="false">B$77*$B$52/$A82</f>
        <v>1275</v>
      </c>
      <c r="C82" s="47" t="n">
        <f aca="false">C$77*$B$52/$A82</f>
        <v>1700</v>
      </c>
      <c r="D82" s="47" t="n">
        <f aca="false">D$77*$B$52/$A82</f>
        <v>2125</v>
      </c>
      <c r="E82" s="47" t="n">
        <f aca="false">E$77*$B$52/$A82</f>
        <v>2550</v>
      </c>
      <c r="F82" s="47" t="n">
        <f aca="false">F$77*$B$52/$A82</f>
        <v>2975</v>
      </c>
    </row>
    <row r="84" customFormat="false" ht="15" hidden="false" customHeight="false" outlineLevel="0" collapsed="false">
      <c r="A84" s="5" t="s">
        <v>325</v>
      </c>
    </row>
    <row r="85" customFormat="false" ht="15" hidden="false" customHeight="false" outlineLevel="0" collapsed="false">
      <c r="A85" s="23" t="s">
        <v>324</v>
      </c>
      <c r="B85" s="46" t="n">
        <v>150</v>
      </c>
      <c r="C85" s="46" t="n">
        <v>200</v>
      </c>
      <c r="D85" s="46" t="n">
        <v>250</v>
      </c>
      <c r="E85" s="46" t="n">
        <v>300</v>
      </c>
      <c r="F85" s="46" t="n">
        <v>350</v>
      </c>
    </row>
    <row r="86" customFormat="false" ht="15" hidden="false" customHeight="false" outlineLevel="0" collapsed="false">
      <c r="A86" s="35" t="n">
        <v>0.03</v>
      </c>
      <c r="B86" s="48" t="n">
        <f aca="false">IFERROR(B$85*$B$52/$A86/$B$64,0)</f>
        <v>3.35638003731634</v>
      </c>
      <c r="C86" s="48" t="n">
        <f aca="false">IFERROR(C$85*$B$52/$A86/$B$64,0)</f>
        <v>4.47517338308846</v>
      </c>
      <c r="D86" s="48" t="n">
        <f aca="false">IFERROR(D$85*$B$52/$A86/$B$64,0)</f>
        <v>5.59396672886057</v>
      </c>
      <c r="E86" s="48" t="n">
        <f aca="false">IFERROR(E$85*$B$52/$A86/$B$64,0)</f>
        <v>6.71276007463269</v>
      </c>
      <c r="F86" s="48" t="n">
        <f aca="false">IFERROR(F$85*$B$52/$A86/$B$64,0)</f>
        <v>7.8315534204048</v>
      </c>
    </row>
    <row r="87" customFormat="false" ht="15" hidden="false" customHeight="false" outlineLevel="0" collapsed="false">
      <c r="A87" s="35" t="n">
        <v>0.04</v>
      </c>
      <c r="B87" s="48" t="n">
        <f aca="false">IFERROR(B$85*$B$52/$A87/$B$64,0)</f>
        <v>2.51728502798726</v>
      </c>
      <c r="C87" s="48" t="n">
        <f aca="false">IFERROR(C$85*$B$52/$A87/$B$64,0)</f>
        <v>3.35638003731634</v>
      </c>
      <c r="D87" s="48" t="n">
        <f aca="false">IFERROR(D$85*$B$52/$A87/$B$64,0)</f>
        <v>4.19547504664543</v>
      </c>
      <c r="E87" s="48" t="n">
        <f aca="false">IFERROR(E$85*$B$52/$A87/$B$64,0)</f>
        <v>5.03457005597451</v>
      </c>
      <c r="F87" s="48" t="n">
        <f aca="false">IFERROR(F$85*$B$52/$A87/$B$64,0)</f>
        <v>5.8736650653036</v>
      </c>
    </row>
    <row r="88" customFormat="false" ht="15" hidden="false" customHeight="false" outlineLevel="0" collapsed="false">
      <c r="A88" s="35" t="n">
        <v>0.05</v>
      </c>
      <c r="B88" s="48" t="n">
        <f aca="false">IFERROR(B$85*$B$52/$A88/$B$64,0)</f>
        <v>2.01382802238981</v>
      </c>
      <c r="C88" s="48" t="n">
        <f aca="false">IFERROR(C$85*$B$52/$A88/$B$64,0)</f>
        <v>2.68510402985307</v>
      </c>
      <c r="D88" s="48" t="n">
        <f aca="false">IFERROR(D$85*$B$52/$A88/$B$64,0)</f>
        <v>3.35638003731634</v>
      </c>
      <c r="E88" s="48" t="n">
        <f aca="false">IFERROR(E$85*$B$52/$A88/$B$64,0)</f>
        <v>4.02765604477961</v>
      </c>
      <c r="F88" s="48" t="n">
        <f aca="false">IFERROR(F$85*$B$52/$A88/$B$64,0)</f>
        <v>4.69893205224288</v>
      </c>
    </row>
    <row r="89" customFormat="false" ht="15" hidden="false" customHeight="false" outlineLevel="0" collapsed="false">
      <c r="A89" s="35" t="n">
        <v>0.07</v>
      </c>
      <c r="B89" s="48" t="n">
        <f aca="false">IFERROR(B$85*$B$52/$A89/$B$64,0)</f>
        <v>1.43844858742129</v>
      </c>
      <c r="C89" s="48" t="n">
        <f aca="false">IFERROR(C$85*$B$52/$A89/$B$64,0)</f>
        <v>1.91793144989505</v>
      </c>
      <c r="D89" s="48" t="n">
        <f aca="false">IFERROR(D$85*$B$52/$A89/$B$64,0)</f>
        <v>2.39741431236882</v>
      </c>
      <c r="E89" s="48" t="n">
        <f aca="false">IFERROR(E$85*$B$52/$A89/$B$64,0)</f>
        <v>2.87689717484258</v>
      </c>
      <c r="F89" s="48" t="n">
        <f aca="false">IFERROR(F$85*$B$52/$A89/$B$64,0)</f>
        <v>3.35638003731634</v>
      </c>
    </row>
    <row r="90" customFormat="false" ht="15" hidden="false" customHeight="false" outlineLevel="0" collapsed="false">
      <c r="A90" s="35" t="n">
        <v>0.1</v>
      </c>
      <c r="B90" s="48" t="n">
        <f aca="false">IFERROR(B$85*$B$52/$A90/$B$64,0)</f>
        <v>1.0069140111949</v>
      </c>
      <c r="C90" s="48" t="n">
        <f aca="false">IFERROR(C$85*$B$52/$A90/$B$64,0)</f>
        <v>1.34255201492654</v>
      </c>
      <c r="D90" s="48" t="n">
        <f aca="false">IFERROR(D$85*$B$52/$A90/$B$64,0)</f>
        <v>1.67819001865817</v>
      </c>
      <c r="E90" s="48" t="n">
        <f aca="false">IFERROR(E$85*$B$52/$A90/$B$64,0)</f>
        <v>2.01382802238981</v>
      </c>
      <c r="F90" s="48" t="n">
        <f aca="false">IFERROR(F$85*$B$52/$A90/$B$64,0)</f>
        <v>2.34946602612144</v>
      </c>
    </row>
    <row r="92" customFormat="false" ht="15" hidden="false" customHeight="false" outlineLevel="0" collapsed="false">
      <c r="A92" s="5" t="s">
        <v>326</v>
      </c>
    </row>
    <row r="93" customFormat="false" ht="15" hidden="false" customHeight="false" outlineLevel="0" collapsed="false">
      <c r="A93" s="23" t="s">
        <v>327</v>
      </c>
      <c r="B93" s="49" t="n">
        <v>5</v>
      </c>
      <c r="C93" s="49" t="n">
        <v>10</v>
      </c>
      <c r="D93" s="49" t="n">
        <v>20</v>
      </c>
      <c r="E93" s="49" t="n">
        <v>40</v>
      </c>
      <c r="F93" s="49" t="n">
        <v>80</v>
      </c>
    </row>
    <row r="94" customFormat="false" ht="15" hidden="false" customHeight="false" outlineLevel="0" collapsed="false">
      <c r="A94" s="35" t="n">
        <v>0.05</v>
      </c>
      <c r="B94" s="50" t="n">
        <f aca="false">B$93*$A94</f>
        <v>0.25</v>
      </c>
      <c r="C94" s="50" t="n">
        <f aca="false">C$93*$A94</f>
        <v>0.5</v>
      </c>
      <c r="D94" s="50" t="n">
        <f aca="false">D$93*$A94</f>
        <v>1</v>
      </c>
      <c r="E94" s="50" t="n">
        <f aca="false">E$93*$A94</f>
        <v>2</v>
      </c>
      <c r="F94" s="50" t="n">
        <f aca="false">F$93*$A94</f>
        <v>4</v>
      </c>
    </row>
    <row r="95" customFormat="false" ht="15" hidden="false" customHeight="false" outlineLevel="0" collapsed="false">
      <c r="A95" s="35" t="n">
        <v>0.1</v>
      </c>
      <c r="B95" s="50" t="n">
        <f aca="false">B$93*$A95</f>
        <v>0.5</v>
      </c>
      <c r="C95" s="50" t="n">
        <f aca="false">C$93*$A95</f>
        <v>1</v>
      </c>
      <c r="D95" s="50" t="n">
        <f aca="false">D$93*$A95</f>
        <v>2</v>
      </c>
      <c r="E95" s="50" t="n">
        <f aca="false">E$93*$A95</f>
        <v>4</v>
      </c>
      <c r="F95" s="50" t="n">
        <f aca="false">F$93*$A95</f>
        <v>8</v>
      </c>
    </row>
    <row r="96" customFormat="false" ht="15" hidden="false" customHeight="false" outlineLevel="0" collapsed="false">
      <c r="A96" s="35" t="n">
        <v>0.15</v>
      </c>
      <c r="B96" s="50" t="n">
        <f aca="false">B$93*$A96</f>
        <v>0.75</v>
      </c>
      <c r="C96" s="50" t="n">
        <f aca="false">C$93*$A96</f>
        <v>1.5</v>
      </c>
      <c r="D96" s="50" t="n">
        <f aca="false">D$93*$A96</f>
        <v>3</v>
      </c>
      <c r="E96" s="50" t="n">
        <f aca="false">E$93*$A96</f>
        <v>6</v>
      </c>
      <c r="F96" s="50" t="n">
        <f aca="false">F$93*$A96</f>
        <v>12</v>
      </c>
    </row>
    <row r="97" customFormat="false" ht="15" hidden="false" customHeight="false" outlineLevel="0" collapsed="false">
      <c r="A97" s="35" t="n">
        <v>0.2</v>
      </c>
      <c r="B97" s="50" t="n">
        <f aca="false">B$93*$A97</f>
        <v>1</v>
      </c>
      <c r="C97" s="50" t="n">
        <f aca="false">C$93*$A97</f>
        <v>2</v>
      </c>
      <c r="D97" s="50" t="n">
        <f aca="false">D$93*$A97</f>
        <v>4</v>
      </c>
      <c r="E97" s="50" t="n">
        <f aca="false">E$93*$A97</f>
        <v>8</v>
      </c>
      <c r="F97" s="50" t="n">
        <f aca="false">F$93*$A97</f>
        <v>16</v>
      </c>
    </row>
    <row r="98" customFormat="false" ht="15" hidden="false" customHeight="false" outlineLevel="0" collapsed="false">
      <c r="A98" s="35" t="n">
        <v>0.25</v>
      </c>
      <c r="B98" s="50" t="n">
        <f aca="false">B$93*$A98</f>
        <v>1.25</v>
      </c>
      <c r="C98" s="50" t="n">
        <f aca="false">C$93*$A98</f>
        <v>2.5</v>
      </c>
      <c r="D98" s="50" t="n">
        <f aca="false">D$93*$A98</f>
        <v>5</v>
      </c>
      <c r="E98" s="50" t="n">
        <f aca="false">E$93*$A98</f>
        <v>10</v>
      </c>
      <c r="F98" s="50" t="n">
        <f aca="false">F$93*$A98</f>
        <v>20</v>
      </c>
    </row>
    <row r="100" customFormat="false" ht="15" hidden="false" customHeight="false" outlineLevel="0" collapsed="false">
      <c r="A100" s="5" t="s">
        <v>328</v>
      </c>
    </row>
    <row r="101" customFormat="false" ht="15" hidden="false" customHeight="false" outlineLevel="0" collapsed="false">
      <c r="A101" s="23" t="s">
        <v>329</v>
      </c>
      <c r="B101" s="46" t="n">
        <v>150</v>
      </c>
      <c r="C101" s="46" t="n">
        <v>200</v>
      </c>
      <c r="D101" s="46" t="n">
        <v>250</v>
      </c>
      <c r="E101" s="46" t="n">
        <v>300</v>
      </c>
      <c r="F101" s="46" t="n">
        <v>350</v>
      </c>
    </row>
    <row r="102" customFormat="false" ht="15" hidden="false" customHeight="false" outlineLevel="0" collapsed="false">
      <c r="A102" s="29" t="n">
        <v>2</v>
      </c>
      <c r="B102" s="50" t="str">
        <f aca="false">IF($A102*B$101/$B$50&lt;=10000,"never",LN(1-10000*$B$50/($A102*B$101))/LN(1-$B$50))</f>
        <v>never</v>
      </c>
      <c r="C102" s="50" t="str">
        <f aca="false">IF($A102*C$101/$B$50&lt;=10000,"never",LN(1-10000*$B$50/($A102*C$101))/LN(1-$B$50))</f>
        <v>never</v>
      </c>
      <c r="D102" s="50" t="str">
        <f aca="false">IF($A102*D$101/$B$50&lt;=10000,"never",LN(1-10000*$B$50/($A102*D$101))/LN(1-$B$50))</f>
        <v>never</v>
      </c>
      <c r="E102" s="50" t="n">
        <f aca="false">IF($A102*E$101/$B$50&lt;=10000,"never",LN(1-10000*$B$50/($A102*E$101))/LN(1-$B$50))</f>
        <v>34.9316512152695</v>
      </c>
      <c r="F102" s="50" t="n">
        <f aca="false">IF($A102*F$101/$B$50&lt;=10000,"never",LN(1-10000*$B$50/($A102*F$101))/LN(1-$B$50))</f>
        <v>24.4235232588107</v>
      </c>
    </row>
    <row r="103" customFormat="false" ht="15" hidden="false" customHeight="false" outlineLevel="0" collapsed="false">
      <c r="A103" s="29" t="n">
        <v>4</v>
      </c>
      <c r="B103" s="50" t="n">
        <f aca="false">IF($A103*B$101/$B$50&lt;=10000,"never",LN(1-10000*$B$50/($A103*B$101))/LN(1-$B$50))</f>
        <v>34.9316512152695</v>
      </c>
      <c r="C103" s="50" t="n">
        <f aca="false">IF($A103*C$101/$B$50&lt;=10000,"never",LN(1-10000*$B$50/($A103*C$101))/LN(1-$B$50))</f>
        <v>19.12197812059</v>
      </c>
      <c r="D103" s="50" t="n">
        <f aca="false">IF($A103*D$101/$B$50&lt;=10000,"never",LN(1-10000*$B$50/($A103*D$101))/LN(1-$B$50))</f>
        <v>13.5134073339649</v>
      </c>
      <c r="E103" s="50" t="n">
        <f aca="false">IF($A103*E$101/$B$50&lt;=10000,"never",LN(1-10000*$B$50/($A103*E$101))/LN(1-$B$50))</f>
        <v>10.5081279564587</v>
      </c>
      <c r="F103" s="50" t="n">
        <f aca="false">IF($A103*F$101/$B$50&lt;=10000,"never",LN(1-10000*$B$50/($A103*F$101))/LN(1-$B$50))</f>
        <v>8.61385016413133</v>
      </c>
    </row>
    <row r="104" customFormat="false" ht="15" hidden="false" customHeight="false" outlineLevel="0" collapsed="false">
      <c r="A104" s="29" t="n">
        <v>6</v>
      </c>
      <c r="B104" s="50" t="n">
        <f aca="false">IF($A104*B$101/$B$50&lt;=10000,"never",LN(1-10000*$B$50/($A104*B$101))/LN(1-$B$50))</f>
        <v>15.8096730946794</v>
      </c>
      <c r="C104" s="50" t="n">
        <f aca="false">IF($A104*C$101/$B$50&lt;=10000,"never",LN(1-10000*$B$50/($A104*C$101))/LN(1-$B$50))</f>
        <v>10.5081279564587</v>
      </c>
      <c r="D104" s="50" t="n">
        <f aca="false">IF($A104*D$101/$B$50&lt;=10000,"never",LN(1-10000*$B$50/($A104*D$101))/LN(1-$B$50))</f>
        <v>7.9048365473397</v>
      </c>
      <c r="E104" s="50" t="n">
        <f aca="false">IF($A104*E$101/$B$50&lt;=10000,"never",LN(1-10000*$B$50/($A104*E$101))/LN(1-$B$50))</f>
        <v>6.34434587055129</v>
      </c>
      <c r="F104" s="50" t="n">
        <f aca="false">IF($A104*F$101/$B$50&lt;=10000,"never",LN(1-10000*$B$50/($A104*F$101))/LN(1-$B$50))</f>
        <v>5.3015451382207</v>
      </c>
    </row>
    <row r="105" customFormat="false" ht="15" hidden="false" customHeight="false" outlineLevel="0" collapsed="false">
      <c r="A105" s="29" t="n">
        <v>10</v>
      </c>
      <c r="B105" s="50" t="n">
        <f aca="false">IF($A105*B$101/$B$50&lt;=10000,"never",LN(1-10000*$B$50/($A105*B$101))/LN(1-$B$50))</f>
        <v>7.9048365473397</v>
      </c>
      <c r="C105" s="50" t="n">
        <f aca="false">IF($A105*C$101/$B$50&lt;=10000,"never",LN(1-10000*$B$50/($A105*C$101))/LN(1-$B$50))</f>
        <v>5.60857078662517</v>
      </c>
      <c r="D105" s="50" t="n">
        <f aca="false">IF($A105*D$101/$B$50&lt;=10000,"never",LN(1-10000*$B$50/($A105*D$101))/LN(1-$B$50))</f>
        <v>4.35034547846022</v>
      </c>
      <c r="E105" s="50" t="n">
        <f aca="false">IF($A105*E$101/$B$50&lt;=10000,"never",LN(1-10000*$B$50/($A105*E$101))/LN(1-$B$50))</f>
        <v>3.55449106887948</v>
      </c>
      <c r="F105" s="50" t="n">
        <f aca="false">IF($A105*F$101/$B$50&lt;=10000,"never",LN(1-10000*$B$50/($A105*F$101))/LN(1-$B$50))</f>
        <v>3.00527937750616</v>
      </c>
    </row>
    <row r="106" customFormat="false" ht="15" hidden="false" customHeight="false" outlineLevel="0" collapsed="false">
      <c r="A106" s="29" t="n">
        <v>15</v>
      </c>
      <c r="B106" s="50" t="n">
        <f aca="false">IF($A106*B$101/$B$50&lt;=10000,"never",LN(1-10000*$B$50/($A106*B$101))/LN(1-$B$50))</f>
        <v>4.89955716983354</v>
      </c>
      <c r="C106" s="50" t="n">
        <f aca="false">IF($A106*C$101/$B$50&lt;=10000,"never",LN(1-10000*$B$50/($A106*C$101))/LN(1-$B$50))</f>
        <v>3.55449106887948</v>
      </c>
      <c r="D106" s="50" t="n">
        <f aca="false">IF($A106*D$101/$B$50&lt;=10000,"never",LN(1-10000*$B$50/($A106*D$101))/LN(1-$B$50))</f>
        <v>2.7898548016718</v>
      </c>
      <c r="E106" s="50" t="n">
        <f aca="false">IF($A106*E$101/$B$50&lt;=10000,"never",LN(1-10000*$B$50/($A106*E$101))/LN(1-$B$50))</f>
        <v>2.29626576071454</v>
      </c>
      <c r="F106" s="50" t="n">
        <f aca="false">IF($A106*F$101/$B$50&lt;=10000,"never",LN(1-10000*$B$50/($A106*F$101))/LN(1-$B$50))</f>
        <v>1.95119965976047</v>
      </c>
    </row>
    <row r="108" customFormat="false" ht="15" hidden="false" customHeight="false" outlineLevel="0" collapsed="false">
      <c r="A108" s="23" t="s">
        <v>330</v>
      </c>
    </row>
  </sheetData>
  <mergeCells count="22">
    <mergeCell ref="A1:J1"/>
    <mergeCell ref="A2:J2"/>
    <mergeCell ref="A4:J4"/>
    <mergeCell ref="A17:J17"/>
    <mergeCell ref="A26:J26"/>
    <mergeCell ref="A44:J44"/>
    <mergeCell ref="A49:J49"/>
    <mergeCell ref="B57:I57"/>
    <mergeCell ref="A59:J59"/>
    <mergeCell ref="D61:H61"/>
    <mergeCell ref="D62:H62"/>
    <mergeCell ref="D63:H63"/>
    <mergeCell ref="D64:H64"/>
    <mergeCell ref="D65:H65"/>
    <mergeCell ref="D66:H66"/>
    <mergeCell ref="D67:H67"/>
    <mergeCell ref="D68:H68"/>
    <mergeCell ref="D69:H69"/>
    <mergeCell ref="D70:H70"/>
    <mergeCell ref="D71:H71"/>
    <mergeCell ref="D72:H72"/>
    <mergeCell ref="A74:J7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15" min="3" style="0" width="10.5"/>
  </cols>
  <sheetData>
    <row r="1" customFormat="false" ht="24" hidden="false" customHeight="true" outlineLevel="0" collapsed="false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2" t="s">
        <v>332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23" t="s">
        <v>333</v>
      </c>
    </row>
    <row r="6" customFormat="false" ht="15" hidden="false" customHeight="false" outlineLevel="0" collapsed="false">
      <c r="A6" s="8" t="s">
        <v>334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5" t="s">
        <v>335</v>
      </c>
      <c r="B7" s="4" t="s">
        <v>336</v>
      </c>
      <c r="C7" s="23" t="s">
        <v>337</v>
      </c>
    </row>
    <row r="8" customFormat="false" ht="15" hidden="false" customHeight="false" outlineLevel="0" collapsed="false">
      <c r="A8" s="5" t="s">
        <v>338</v>
      </c>
      <c r="B8" s="4" t="s">
        <v>339</v>
      </c>
      <c r="C8" s="51" t="s">
        <v>337</v>
      </c>
    </row>
    <row r="9" customFormat="false" ht="15" hidden="false" customHeight="false" outlineLevel="0" collapsed="false">
      <c r="A9" s="5" t="s">
        <v>340</v>
      </c>
      <c r="B9" s="4" t="s">
        <v>341</v>
      </c>
      <c r="C9" s="51" t="s">
        <v>337</v>
      </c>
    </row>
    <row r="10" customFormat="false" ht="15" hidden="false" customHeight="false" outlineLevel="0" collapsed="false">
      <c r="A10" s="5" t="s">
        <v>342</v>
      </c>
      <c r="B10" s="4" t="s">
        <v>343</v>
      </c>
      <c r="C10" s="51" t="s">
        <v>337</v>
      </c>
    </row>
    <row r="12" customFormat="false" ht="15" hidden="false" customHeight="false" outlineLevel="0" collapsed="false">
      <c r="A12" s="8" t="s">
        <v>344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13" customFormat="false" ht="15" hidden="false" customHeight="false" outlineLevel="0" collapsed="false">
      <c r="A13" s="5" t="s">
        <v>41</v>
      </c>
      <c r="B13" s="5" t="s">
        <v>127</v>
      </c>
      <c r="C13" s="32" t="s">
        <v>185</v>
      </c>
      <c r="D13" s="32" t="s">
        <v>186</v>
      </c>
      <c r="E13" s="32" t="s">
        <v>187</v>
      </c>
      <c r="F13" s="32" t="s">
        <v>188</v>
      </c>
      <c r="G13" s="32" t="s">
        <v>189</v>
      </c>
      <c r="H13" s="32" t="s">
        <v>190</v>
      </c>
      <c r="I13" s="32" t="s">
        <v>191</v>
      </c>
      <c r="J13" s="32" t="s">
        <v>192</v>
      </c>
      <c r="K13" s="32" t="s">
        <v>193</v>
      </c>
      <c r="L13" s="32" t="s">
        <v>194</v>
      </c>
      <c r="M13" s="32" t="s">
        <v>195</v>
      </c>
      <c r="N13" s="32" t="s">
        <v>196</v>
      </c>
      <c r="O13" s="32" t="s">
        <v>197</v>
      </c>
    </row>
    <row r="14" customFormat="false" ht="15" hidden="false" customHeight="false" outlineLevel="0" collapsed="false">
      <c r="A14" s="5" t="s">
        <v>345</v>
      </c>
      <c r="B14" s="23" t="s">
        <v>346</v>
      </c>
      <c r="C14" s="33" t="n">
        <v>0</v>
      </c>
      <c r="D14" s="33" t="n">
        <v>0</v>
      </c>
      <c r="E14" s="33" t="n">
        <v>0</v>
      </c>
      <c r="F14" s="33" t="n">
        <v>0</v>
      </c>
      <c r="G14" s="33" t="n">
        <v>0</v>
      </c>
      <c r="H14" s="33" t="n">
        <v>0</v>
      </c>
      <c r="I14" s="33" t="n">
        <v>0</v>
      </c>
      <c r="J14" s="33" t="n">
        <v>0</v>
      </c>
      <c r="K14" s="33" t="n">
        <v>0</v>
      </c>
      <c r="L14" s="33" t="n">
        <v>0</v>
      </c>
      <c r="M14" s="33" t="n">
        <v>0</v>
      </c>
      <c r="N14" s="33" t="n">
        <v>0</v>
      </c>
      <c r="O14" s="29" t="n">
        <f aca="false">SUM(C14:N14)</f>
        <v>0</v>
      </c>
    </row>
    <row r="15" customFormat="false" ht="15" hidden="false" customHeight="false" outlineLevel="0" collapsed="false">
      <c r="A15" s="5" t="s">
        <v>347</v>
      </c>
      <c r="B15" s="23" t="s">
        <v>346</v>
      </c>
      <c r="C15" s="33" t="n">
        <v>0</v>
      </c>
      <c r="D15" s="33" t="n">
        <v>0</v>
      </c>
      <c r="E15" s="33" t="n">
        <v>0</v>
      </c>
      <c r="F15" s="33" t="n">
        <v>0</v>
      </c>
      <c r="G15" s="33" t="n">
        <v>0</v>
      </c>
      <c r="H15" s="33" t="n">
        <v>0</v>
      </c>
      <c r="I15" s="33" t="n">
        <v>0</v>
      </c>
      <c r="J15" s="33" t="n">
        <v>0</v>
      </c>
      <c r="K15" s="33" t="n">
        <v>0</v>
      </c>
      <c r="L15" s="33" t="n">
        <v>0</v>
      </c>
      <c r="M15" s="33" t="n">
        <v>0</v>
      </c>
      <c r="N15" s="33" t="n">
        <v>0</v>
      </c>
      <c r="O15" s="29" t="n">
        <f aca="false">SUM(C15:N15)</f>
        <v>0</v>
      </c>
    </row>
    <row r="16" customFormat="false" ht="15" hidden="false" customHeight="false" outlineLevel="0" collapsed="false">
      <c r="A16" s="5" t="s">
        <v>348</v>
      </c>
      <c r="B16" s="23" t="s">
        <v>349</v>
      </c>
      <c r="C16" s="33" t="n">
        <v>0</v>
      </c>
      <c r="D16" s="33" t="n">
        <v>0</v>
      </c>
      <c r="E16" s="33" t="n">
        <v>0</v>
      </c>
      <c r="F16" s="33" t="n">
        <v>0</v>
      </c>
      <c r="G16" s="33" t="n">
        <v>0</v>
      </c>
      <c r="H16" s="33" t="n">
        <v>0</v>
      </c>
      <c r="I16" s="33" t="n">
        <v>0</v>
      </c>
      <c r="J16" s="33" t="n">
        <v>0</v>
      </c>
      <c r="K16" s="33" t="n">
        <v>0</v>
      </c>
      <c r="L16" s="33" t="n">
        <v>0</v>
      </c>
      <c r="M16" s="33" t="n">
        <v>0</v>
      </c>
      <c r="N16" s="33" t="n">
        <v>0</v>
      </c>
      <c r="O16" s="29" t="n">
        <f aca="false">N16</f>
        <v>0</v>
      </c>
    </row>
    <row r="18" customFormat="false" ht="15" hidden="false" customHeight="false" outlineLevel="0" collapsed="false">
      <c r="A18" s="8" t="s">
        <v>350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</row>
    <row r="19" customFormat="false" ht="15" hidden="false" customHeight="false" outlineLevel="0" collapsed="false">
      <c r="A19" s="5" t="s">
        <v>351</v>
      </c>
      <c r="B19" s="23"/>
      <c r="C19" s="52" t="n">
        <v>0</v>
      </c>
      <c r="D19" s="52" t="n">
        <v>0</v>
      </c>
      <c r="E19" s="52" t="n">
        <v>0</v>
      </c>
      <c r="F19" s="52" t="n">
        <v>0</v>
      </c>
      <c r="G19" s="52" t="n">
        <v>0</v>
      </c>
      <c r="H19" s="52" t="n">
        <v>0</v>
      </c>
      <c r="I19" s="52" t="n">
        <v>0</v>
      </c>
      <c r="J19" s="52" t="n">
        <v>0</v>
      </c>
      <c r="K19" s="52" t="n">
        <v>0</v>
      </c>
      <c r="L19" s="52" t="n">
        <v>0</v>
      </c>
      <c r="M19" s="52" t="n">
        <v>0</v>
      </c>
      <c r="N19" s="52" t="n">
        <v>0</v>
      </c>
      <c r="O19" s="53" t="n">
        <f aca="false">N19</f>
        <v>0</v>
      </c>
    </row>
    <row r="20" customFormat="false" ht="15" hidden="false" customHeight="false" outlineLevel="0" collapsed="false">
      <c r="A20" s="5" t="s">
        <v>352</v>
      </c>
      <c r="B20" s="23" t="s">
        <v>353</v>
      </c>
      <c r="C20" s="52" t="n">
        <v>0</v>
      </c>
      <c r="D20" s="52" t="n">
        <v>0</v>
      </c>
      <c r="E20" s="52" t="n">
        <v>0</v>
      </c>
      <c r="F20" s="52" t="n">
        <v>0</v>
      </c>
      <c r="G20" s="52" t="n">
        <v>0</v>
      </c>
      <c r="H20" s="52" t="n">
        <v>0</v>
      </c>
      <c r="I20" s="52" t="n">
        <v>0</v>
      </c>
      <c r="J20" s="52" t="n">
        <v>0</v>
      </c>
      <c r="K20" s="52" t="n">
        <v>0</v>
      </c>
      <c r="L20" s="52" t="n">
        <v>0</v>
      </c>
      <c r="M20" s="52" t="n">
        <v>0</v>
      </c>
      <c r="N20" s="52" t="n">
        <v>0</v>
      </c>
      <c r="O20" s="53" t="n">
        <f aca="false">SUM(C20:N20)</f>
        <v>0</v>
      </c>
    </row>
    <row r="21" customFormat="false" ht="15" hidden="false" customHeight="false" outlineLevel="0" collapsed="false">
      <c r="A21" s="5" t="s">
        <v>354</v>
      </c>
      <c r="B21" s="23" t="s">
        <v>353</v>
      </c>
      <c r="C21" s="52" t="n">
        <v>0</v>
      </c>
      <c r="D21" s="52" t="n">
        <v>0</v>
      </c>
      <c r="E21" s="52" t="n">
        <v>0</v>
      </c>
      <c r="F21" s="52" t="n">
        <v>0</v>
      </c>
      <c r="G21" s="52" t="n">
        <v>0</v>
      </c>
      <c r="H21" s="52" t="n">
        <v>0</v>
      </c>
      <c r="I21" s="52" t="n">
        <v>0</v>
      </c>
      <c r="J21" s="52" t="n">
        <v>0</v>
      </c>
      <c r="K21" s="52" t="n">
        <v>0</v>
      </c>
      <c r="L21" s="52" t="n">
        <v>0</v>
      </c>
      <c r="M21" s="52" t="n">
        <v>0</v>
      </c>
      <c r="N21" s="52" t="n">
        <v>0</v>
      </c>
      <c r="O21" s="53" t="n">
        <f aca="false">SUM(C21:N21)</f>
        <v>0</v>
      </c>
    </row>
    <row r="22" customFormat="false" ht="15" hidden="false" customHeight="false" outlineLevel="0" collapsed="false">
      <c r="A22" s="5" t="s">
        <v>355</v>
      </c>
      <c r="B22" s="23" t="s">
        <v>353</v>
      </c>
      <c r="C22" s="52" t="n">
        <v>0</v>
      </c>
      <c r="D22" s="52" t="n">
        <v>0</v>
      </c>
      <c r="E22" s="52" t="n">
        <v>0</v>
      </c>
      <c r="F22" s="52" t="n">
        <v>0</v>
      </c>
      <c r="G22" s="52" t="n">
        <v>0</v>
      </c>
      <c r="H22" s="52" t="n">
        <v>0</v>
      </c>
      <c r="I22" s="52" t="n">
        <v>0</v>
      </c>
      <c r="J22" s="52" t="n">
        <v>0</v>
      </c>
      <c r="K22" s="52" t="n">
        <v>0</v>
      </c>
      <c r="L22" s="52" t="n">
        <v>0</v>
      </c>
      <c r="M22" s="52" t="n">
        <v>0</v>
      </c>
      <c r="N22" s="52" t="n">
        <v>0</v>
      </c>
      <c r="O22" s="53" t="n">
        <f aca="false">SUM(C22:N22)</f>
        <v>0</v>
      </c>
    </row>
    <row r="23" customFormat="false" ht="15" hidden="false" customHeight="false" outlineLevel="0" collapsed="false">
      <c r="A23" s="5" t="s">
        <v>356</v>
      </c>
      <c r="B23" s="23" t="s">
        <v>353</v>
      </c>
      <c r="C23" s="52" t="n">
        <v>0</v>
      </c>
      <c r="D23" s="52" t="n">
        <v>0</v>
      </c>
      <c r="E23" s="52" t="n">
        <v>0</v>
      </c>
      <c r="F23" s="52" t="n">
        <v>0</v>
      </c>
      <c r="G23" s="52" t="n">
        <v>0</v>
      </c>
      <c r="H23" s="52" t="n">
        <v>0</v>
      </c>
      <c r="I23" s="52" t="n">
        <v>0</v>
      </c>
      <c r="J23" s="52" t="n">
        <v>0</v>
      </c>
      <c r="K23" s="52" t="n">
        <v>0</v>
      </c>
      <c r="L23" s="52" t="n">
        <v>0</v>
      </c>
      <c r="M23" s="52" t="n">
        <v>0</v>
      </c>
      <c r="N23" s="52" t="n">
        <v>0</v>
      </c>
      <c r="O23" s="53" t="n">
        <f aca="false">SUM(C23:N23)</f>
        <v>0</v>
      </c>
    </row>
    <row r="24" customFormat="false" ht="15" hidden="false" customHeight="false" outlineLevel="0" collapsed="false">
      <c r="A24" s="5" t="s">
        <v>357</v>
      </c>
      <c r="B24" s="23"/>
      <c r="C24" s="52" t="n">
        <v>0</v>
      </c>
      <c r="D24" s="52" t="n">
        <v>0</v>
      </c>
      <c r="E24" s="52" t="n">
        <v>0</v>
      </c>
      <c r="F24" s="52" t="n">
        <v>0</v>
      </c>
      <c r="G24" s="52" t="n">
        <v>0</v>
      </c>
      <c r="H24" s="52" t="n">
        <v>0</v>
      </c>
      <c r="I24" s="52" t="n">
        <v>0</v>
      </c>
      <c r="J24" s="52" t="n">
        <v>0</v>
      </c>
      <c r="K24" s="52" t="n">
        <v>0</v>
      </c>
      <c r="L24" s="52" t="n">
        <v>0</v>
      </c>
      <c r="M24" s="52" t="n">
        <v>0</v>
      </c>
      <c r="N24" s="52" t="n">
        <v>0</v>
      </c>
      <c r="O24" s="53" t="n">
        <f aca="false">SUM(C24:N24)</f>
        <v>0</v>
      </c>
    </row>
    <row r="25" customFormat="false" ht="15" hidden="false" customHeight="false" outlineLevel="0" collapsed="false">
      <c r="A25" s="5" t="s">
        <v>358</v>
      </c>
      <c r="B25" s="23"/>
      <c r="C25" s="52" t="n">
        <v>0</v>
      </c>
      <c r="D25" s="52" t="n">
        <v>0</v>
      </c>
      <c r="E25" s="52" t="n">
        <v>0</v>
      </c>
      <c r="F25" s="52" t="n">
        <v>0</v>
      </c>
      <c r="G25" s="52" t="n">
        <v>0</v>
      </c>
      <c r="H25" s="52" t="n">
        <v>0</v>
      </c>
      <c r="I25" s="52" t="n">
        <v>0</v>
      </c>
      <c r="J25" s="52" t="n">
        <v>0</v>
      </c>
      <c r="K25" s="52" t="n">
        <v>0</v>
      </c>
      <c r="L25" s="52" t="n">
        <v>0</v>
      </c>
      <c r="M25" s="52" t="n">
        <v>0</v>
      </c>
      <c r="N25" s="52" t="n">
        <v>0</v>
      </c>
      <c r="O25" s="53" t="n">
        <f aca="false">N25</f>
        <v>0</v>
      </c>
    </row>
    <row r="26" customFormat="false" ht="15" hidden="false" customHeight="false" outlineLevel="0" collapsed="false">
      <c r="A26" s="5" t="s">
        <v>55</v>
      </c>
      <c r="B26" s="23" t="s">
        <v>359</v>
      </c>
      <c r="C26" s="52" t="n">
        <v>0</v>
      </c>
      <c r="D26" s="52" t="n">
        <v>0</v>
      </c>
      <c r="E26" s="52" t="n">
        <v>0</v>
      </c>
      <c r="F26" s="52" t="n">
        <v>0</v>
      </c>
      <c r="G26" s="52" t="n">
        <v>0</v>
      </c>
      <c r="H26" s="52" t="n">
        <v>0</v>
      </c>
      <c r="I26" s="52" t="n">
        <v>0</v>
      </c>
      <c r="J26" s="52" t="n">
        <v>0</v>
      </c>
      <c r="K26" s="52" t="n">
        <v>0</v>
      </c>
      <c r="L26" s="52" t="n">
        <v>0</v>
      </c>
      <c r="M26" s="52" t="n">
        <v>0</v>
      </c>
      <c r="N26" s="52" t="n">
        <v>0</v>
      </c>
      <c r="O26" s="53" t="n">
        <f aca="false">N26</f>
        <v>0</v>
      </c>
    </row>
    <row r="28" customFormat="false" ht="15" hidden="false" customHeight="false" outlineLevel="0" collapsed="false">
      <c r="A28" s="23" t="s">
        <v>360</v>
      </c>
    </row>
  </sheetData>
  <mergeCells count="5">
    <mergeCell ref="A1:P1"/>
    <mergeCell ref="A2:P2"/>
    <mergeCell ref="A6:P6"/>
    <mergeCell ref="A12:P12"/>
    <mergeCell ref="A18:P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42"/>
    <col collapsed="false" customWidth="true" hidden="false" outlineLevel="0" max="15" min="3" style="0" width="10.5"/>
  </cols>
  <sheetData>
    <row r="1" customFormat="false" ht="24" hidden="false" customHeight="true" outlineLevel="0" collapsed="false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2" t="s">
        <v>362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8" t="s">
        <v>363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 customFormat="false" ht="15" hidden="false" customHeight="false" outlineLevel="0" collapsed="false">
      <c r="A5" s="5" t="s">
        <v>41</v>
      </c>
      <c r="B5" s="5" t="s">
        <v>127</v>
      </c>
      <c r="C5" s="32" t="s">
        <v>185</v>
      </c>
      <c r="D5" s="32" t="s">
        <v>186</v>
      </c>
      <c r="E5" s="32" t="s">
        <v>187</v>
      </c>
      <c r="F5" s="32" t="s">
        <v>188</v>
      </c>
      <c r="G5" s="32" t="s">
        <v>189</v>
      </c>
      <c r="H5" s="32" t="s">
        <v>190</v>
      </c>
      <c r="I5" s="32" t="s">
        <v>191</v>
      </c>
      <c r="J5" s="32" t="s">
        <v>192</v>
      </c>
      <c r="K5" s="32" t="s">
        <v>193</v>
      </c>
      <c r="L5" s="32" t="s">
        <v>194</v>
      </c>
      <c r="M5" s="32" t="s">
        <v>195</v>
      </c>
      <c r="N5" s="32" t="s">
        <v>196</v>
      </c>
      <c r="O5" s="32" t="s">
        <v>197</v>
      </c>
    </row>
    <row r="6" customFormat="false" ht="15" hidden="false" customHeight="false" outlineLevel="0" collapsed="false">
      <c r="A6" s="5" t="s">
        <v>364</v>
      </c>
      <c r="B6" s="23" t="s">
        <v>365</v>
      </c>
      <c r="C6" s="33" t="n">
        <v>0</v>
      </c>
      <c r="D6" s="33" t="n">
        <v>0</v>
      </c>
      <c r="E6" s="33" t="n">
        <v>0</v>
      </c>
      <c r="F6" s="33" t="n">
        <v>1</v>
      </c>
      <c r="G6" s="33" t="n">
        <v>1</v>
      </c>
      <c r="H6" s="33" t="n">
        <v>0</v>
      </c>
      <c r="I6" s="33" t="n">
        <v>0</v>
      </c>
      <c r="J6" s="33" t="n">
        <v>0</v>
      </c>
      <c r="K6" s="33" t="n">
        <v>1</v>
      </c>
      <c r="L6" s="33" t="n">
        <v>1</v>
      </c>
      <c r="M6" s="33" t="n">
        <v>90</v>
      </c>
      <c r="N6" s="33" t="n">
        <v>114</v>
      </c>
      <c r="O6" s="29" t="n">
        <f aca="false">N6</f>
        <v>114</v>
      </c>
    </row>
    <row r="7" customFormat="false" ht="15" hidden="false" customHeight="false" outlineLevel="0" collapsed="false">
      <c r="A7" s="5" t="s">
        <v>366</v>
      </c>
      <c r="B7" s="23" t="s">
        <v>367</v>
      </c>
      <c r="C7" s="33" t="n">
        <v>0</v>
      </c>
      <c r="D7" s="33" t="n">
        <v>0</v>
      </c>
      <c r="E7" s="33" t="n">
        <v>0</v>
      </c>
      <c r="F7" s="33" t="n">
        <v>0</v>
      </c>
      <c r="G7" s="33" t="n">
        <v>0</v>
      </c>
      <c r="H7" s="33" t="n">
        <v>0</v>
      </c>
      <c r="I7" s="33" t="n">
        <v>0</v>
      </c>
      <c r="J7" s="33" t="n">
        <v>0</v>
      </c>
      <c r="K7" s="33" t="n">
        <v>0</v>
      </c>
      <c r="L7" s="33" t="n">
        <v>0</v>
      </c>
      <c r="M7" s="33" t="n">
        <v>21</v>
      </c>
      <c r="N7" s="33" t="n">
        <v>20</v>
      </c>
      <c r="O7" s="29" t="n">
        <f aca="false">N7</f>
        <v>20</v>
      </c>
    </row>
    <row r="8" customFormat="false" ht="15" hidden="false" customHeight="false" outlineLevel="0" collapsed="false">
      <c r="A8" s="5" t="s">
        <v>368</v>
      </c>
      <c r="B8" s="23" t="s">
        <v>369</v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15</v>
      </c>
      <c r="N8" s="33"/>
      <c r="O8" s="29" t="n">
        <f aca="false">N8</f>
        <v>0</v>
      </c>
    </row>
    <row r="9" customFormat="false" ht="15" hidden="false" customHeight="false" outlineLevel="0" collapsed="false">
      <c r="A9" s="5" t="s">
        <v>370</v>
      </c>
      <c r="B9" s="23" t="s">
        <v>371</v>
      </c>
      <c r="C9" s="52" t="n">
        <v>0</v>
      </c>
      <c r="D9" s="52" t="n">
        <v>0</v>
      </c>
      <c r="E9" s="52" t="n">
        <v>0</v>
      </c>
      <c r="F9" s="52" t="n">
        <v>0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94</v>
      </c>
      <c r="N9" s="52" t="n">
        <v>241</v>
      </c>
      <c r="O9" s="53" t="n">
        <f aca="false">N9</f>
        <v>241</v>
      </c>
    </row>
    <row r="11" customFormat="false" ht="15" hidden="false" customHeight="false" outlineLevel="0" collapsed="false">
      <c r="A11" s="23" t="s">
        <v>372</v>
      </c>
    </row>
    <row r="13" customFormat="false" ht="15" hidden="false" customHeight="false" outlineLevel="0" collapsed="false">
      <c r="A13" s="8" t="s">
        <v>373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</row>
    <row r="14" customFormat="false" ht="15" hidden="false" customHeight="false" outlineLevel="0" collapsed="false">
      <c r="A14" s="9" t="s">
        <v>374</v>
      </c>
      <c r="B14" s="9" t="s">
        <v>375</v>
      </c>
      <c r="C14" s="9" t="s">
        <v>376</v>
      </c>
      <c r="D14" s="9" t="s">
        <v>377</v>
      </c>
      <c r="E14" s="9" t="s">
        <v>378</v>
      </c>
      <c r="F14" s="9" t="s">
        <v>379</v>
      </c>
    </row>
    <row r="15" customFormat="false" ht="15" hidden="false" customHeight="false" outlineLevel="0" collapsed="false">
      <c r="A15" s="4" t="s">
        <v>380</v>
      </c>
      <c r="B15" s="33" t="n">
        <v>23</v>
      </c>
      <c r="C15" s="33" t="n">
        <v>9900</v>
      </c>
      <c r="D15" s="54" t="n">
        <v>12.59</v>
      </c>
      <c r="E15" s="55" t="n">
        <v>0.7</v>
      </c>
      <c r="F15" s="7" t="s">
        <v>381</v>
      </c>
    </row>
    <row r="16" customFormat="false" ht="15" hidden="false" customHeight="false" outlineLevel="0" collapsed="false">
      <c r="A16" s="4" t="s">
        <v>382</v>
      </c>
      <c r="B16" s="33" t="n">
        <v>7</v>
      </c>
      <c r="C16" s="33" t="n">
        <v>140</v>
      </c>
      <c r="D16" s="54" t="n">
        <v>10.48</v>
      </c>
      <c r="E16" s="55" t="n">
        <v>0.05</v>
      </c>
      <c r="F16" s="7" t="s">
        <v>383</v>
      </c>
    </row>
    <row r="17" customFormat="false" ht="15" hidden="false" customHeight="false" outlineLevel="0" collapsed="false">
      <c r="A17" s="4" t="s">
        <v>384</v>
      </c>
      <c r="B17" s="33" t="n">
        <v>14</v>
      </c>
      <c r="C17" s="33" t="n">
        <v>260</v>
      </c>
      <c r="D17" s="54" t="n">
        <v>14.4</v>
      </c>
      <c r="E17" s="55" t="n">
        <v>0.05</v>
      </c>
      <c r="F17" s="7" t="s">
        <v>381</v>
      </c>
    </row>
    <row r="18" customFormat="false" ht="15" hidden="false" customHeight="false" outlineLevel="0" collapsed="false">
      <c r="A18" s="4" t="s">
        <v>385</v>
      </c>
      <c r="B18" s="33" t="n">
        <v>29</v>
      </c>
      <c r="C18" s="33" t="n">
        <v>140</v>
      </c>
      <c r="D18" s="54" t="n">
        <v>0</v>
      </c>
      <c r="E18" s="55" t="n">
        <v>0</v>
      </c>
      <c r="F18" s="7" t="s">
        <v>386</v>
      </c>
    </row>
    <row r="19" customFormat="false" ht="15" hidden="false" customHeight="false" outlineLevel="0" collapsed="false">
      <c r="A19" s="4" t="s">
        <v>387</v>
      </c>
      <c r="B19" s="33" t="n">
        <v>19</v>
      </c>
      <c r="C19" s="33" t="n">
        <v>70</v>
      </c>
      <c r="D19" s="54" t="n">
        <v>0</v>
      </c>
      <c r="E19" s="55" t="n">
        <v>0</v>
      </c>
      <c r="F19" s="7" t="s">
        <v>388</v>
      </c>
    </row>
    <row r="20" customFormat="false" ht="15" hidden="false" customHeight="false" outlineLevel="0" collapsed="false">
      <c r="A20" s="4" t="s">
        <v>389</v>
      </c>
      <c r="B20" s="33" t="n">
        <v>31</v>
      </c>
      <c r="C20" s="33" t="n">
        <v>40</v>
      </c>
      <c r="D20" s="54" t="n">
        <v>2.29</v>
      </c>
      <c r="E20" s="55" t="n">
        <v>0</v>
      </c>
      <c r="F20" s="7" t="s">
        <v>390</v>
      </c>
    </row>
    <row r="21" customFormat="false" ht="15" hidden="false" customHeight="false" outlineLevel="0" collapsed="false">
      <c r="A21" s="4" t="s">
        <v>391</v>
      </c>
      <c r="B21" s="33" t="n">
        <v>40</v>
      </c>
      <c r="C21" s="33" t="n">
        <v>90</v>
      </c>
      <c r="D21" s="54" t="n">
        <v>5.57</v>
      </c>
      <c r="E21" s="55" t="n">
        <v>0</v>
      </c>
      <c r="F21" s="7" t="s">
        <v>392</v>
      </c>
    </row>
    <row r="22" customFormat="false" ht="15" hidden="false" customHeight="false" outlineLevel="0" collapsed="false">
      <c r="A22" s="4" t="s">
        <v>393</v>
      </c>
      <c r="B22" s="33" t="n">
        <v>58</v>
      </c>
      <c r="C22" s="33" t="n">
        <v>110</v>
      </c>
      <c r="D22" s="54" t="n">
        <v>7.67</v>
      </c>
      <c r="E22" s="55" t="n">
        <v>0</v>
      </c>
      <c r="F22" s="7" t="s">
        <v>392</v>
      </c>
    </row>
    <row r="23" customFormat="false" ht="15" hidden="false" customHeight="false" outlineLevel="0" collapsed="false">
      <c r="A23" s="4" t="s">
        <v>394</v>
      </c>
      <c r="B23" s="33" t="n">
        <v>70</v>
      </c>
      <c r="C23" s="33" t="n">
        <v>40500</v>
      </c>
      <c r="D23" s="54" t="n">
        <v>3.99</v>
      </c>
      <c r="E23" s="55" t="n">
        <v>0</v>
      </c>
      <c r="F23" s="7" t="s">
        <v>395</v>
      </c>
    </row>
    <row r="24" customFormat="false" ht="15" hidden="false" customHeight="false" outlineLevel="0" collapsed="false">
      <c r="A24" s="4" t="s">
        <v>396</v>
      </c>
      <c r="B24" s="33" t="n">
        <v>71</v>
      </c>
      <c r="C24" s="33" t="n">
        <v>110</v>
      </c>
      <c r="D24" s="54" t="n">
        <v>4.45</v>
      </c>
      <c r="E24" s="55" t="n">
        <v>0</v>
      </c>
      <c r="F24" s="7" t="s">
        <v>397</v>
      </c>
    </row>
    <row r="26" customFormat="false" ht="15" hidden="false" customHeight="false" outlineLevel="0" collapsed="false">
      <c r="A26" s="51" t="s">
        <v>398</v>
      </c>
    </row>
    <row r="27" customFormat="false" ht="15" hidden="false" customHeight="false" outlineLevel="0" collapsed="false">
      <c r="A27" s="4" t="s">
        <v>399</v>
      </c>
    </row>
    <row r="29" customFormat="false" ht="15" hidden="false" customHeight="false" outlineLevel="0" collapsed="false">
      <c r="A29" s="8" t="s">
        <v>400</v>
      </c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</row>
    <row r="30" customFormat="false" ht="15" hidden="false" customHeight="false" outlineLevel="0" collapsed="false">
      <c r="A30" s="5" t="s">
        <v>41</v>
      </c>
      <c r="B30" s="5" t="s">
        <v>401</v>
      </c>
      <c r="C30" s="32" t="s">
        <v>185</v>
      </c>
      <c r="D30" s="32" t="s">
        <v>186</v>
      </c>
      <c r="E30" s="32" t="s">
        <v>187</v>
      </c>
      <c r="F30" s="32" t="s">
        <v>188</v>
      </c>
      <c r="G30" s="32" t="s">
        <v>189</v>
      </c>
      <c r="H30" s="32" t="s">
        <v>190</v>
      </c>
      <c r="I30" s="32" t="s">
        <v>191</v>
      </c>
      <c r="J30" s="32" t="s">
        <v>192</v>
      </c>
      <c r="K30" s="32" t="s">
        <v>193</v>
      </c>
      <c r="L30" s="32" t="s">
        <v>194</v>
      </c>
      <c r="M30" s="32" t="s">
        <v>195</v>
      </c>
      <c r="N30" s="32" t="s">
        <v>196</v>
      </c>
      <c r="O30" s="32" t="s">
        <v>197</v>
      </c>
    </row>
    <row r="31" customFormat="false" ht="15" hidden="false" customHeight="false" outlineLevel="0" collapsed="false">
      <c r="A31" s="5" t="s">
        <v>402</v>
      </c>
      <c r="B31" s="23" t="s">
        <v>403</v>
      </c>
      <c r="C31" s="33" t="n">
        <v>0</v>
      </c>
      <c r="D31" s="33" t="n">
        <v>0</v>
      </c>
      <c r="E31" s="33" t="n">
        <v>0</v>
      </c>
      <c r="F31" s="33" t="n">
        <v>0</v>
      </c>
      <c r="G31" s="33" t="n">
        <v>0</v>
      </c>
      <c r="H31" s="33" t="n">
        <v>0</v>
      </c>
      <c r="I31" s="33" t="n">
        <v>0</v>
      </c>
      <c r="J31" s="33" t="n">
        <v>0</v>
      </c>
      <c r="K31" s="33" t="n">
        <v>0</v>
      </c>
      <c r="L31" s="33" t="n">
        <v>0</v>
      </c>
      <c r="M31" s="33" t="n">
        <v>1</v>
      </c>
      <c r="N31" s="33" t="n">
        <v>0</v>
      </c>
      <c r="O31" s="29" t="n">
        <f aca="false">SUM(C31:N31)</f>
        <v>1</v>
      </c>
    </row>
    <row r="32" customFormat="false" ht="15" hidden="false" customHeight="false" outlineLevel="0" collapsed="false">
      <c r="A32" s="5" t="s">
        <v>404</v>
      </c>
      <c r="B32" s="23" t="s">
        <v>346</v>
      </c>
      <c r="C32" s="33" t="n">
        <v>0</v>
      </c>
      <c r="D32" s="33" t="n">
        <v>0</v>
      </c>
      <c r="E32" s="33" t="n">
        <v>0</v>
      </c>
      <c r="F32" s="33" t="n">
        <v>0</v>
      </c>
      <c r="G32" s="33" t="n">
        <v>0</v>
      </c>
      <c r="H32" s="33" t="n">
        <v>0</v>
      </c>
      <c r="I32" s="33" t="n">
        <v>0</v>
      </c>
      <c r="J32" s="33" t="n">
        <v>0</v>
      </c>
      <c r="K32" s="33" t="n">
        <v>0</v>
      </c>
      <c r="L32" s="33" t="n">
        <v>0</v>
      </c>
      <c r="M32" s="33" t="n">
        <v>0</v>
      </c>
      <c r="N32" s="33" t="n">
        <v>0</v>
      </c>
      <c r="O32" s="29" t="n">
        <f aca="false">SUM(C32:N32)</f>
        <v>0</v>
      </c>
    </row>
    <row r="33" customFormat="false" ht="15" hidden="false" customHeight="false" outlineLevel="0" collapsed="false">
      <c r="A33" s="5" t="s">
        <v>405</v>
      </c>
      <c r="B33" s="23" t="s">
        <v>406</v>
      </c>
      <c r="C33" s="52" t="n">
        <v>0</v>
      </c>
      <c r="D33" s="52" t="n">
        <v>0</v>
      </c>
      <c r="E33" s="52" t="n">
        <v>0</v>
      </c>
      <c r="F33" s="52" t="n">
        <v>0</v>
      </c>
      <c r="G33" s="52" t="n">
        <v>0</v>
      </c>
      <c r="H33" s="52" t="n">
        <v>0</v>
      </c>
      <c r="I33" s="52" t="n">
        <v>0</v>
      </c>
      <c r="J33" s="52" t="n">
        <v>0</v>
      </c>
      <c r="K33" s="52" t="n">
        <v>0</v>
      </c>
      <c r="L33" s="52" t="n">
        <v>0</v>
      </c>
      <c r="M33" s="52" t="n">
        <v>0</v>
      </c>
      <c r="N33" s="52" t="n">
        <v>0</v>
      </c>
      <c r="O33" s="53" t="n">
        <f aca="false">SUM(C33:N33)</f>
        <v>0</v>
      </c>
    </row>
    <row r="34" customFormat="false" ht="15" hidden="false" customHeight="false" outlineLevel="0" collapsed="false">
      <c r="A34" s="34" t="s">
        <v>237</v>
      </c>
      <c r="B34" s="23" t="s">
        <v>407</v>
      </c>
      <c r="C34" s="27" t="str">
        <f aca="false">IFERROR(C31/C7,"")</f>
        <v/>
      </c>
      <c r="D34" s="27" t="str">
        <f aca="false">IFERROR(D31/D7,"")</f>
        <v/>
      </c>
      <c r="E34" s="27" t="str">
        <f aca="false">IFERROR(E31/E7,"")</f>
        <v/>
      </c>
      <c r="F34" s="27" t="str">
        <f aca="false">IFERROR(F31/F7,"")</f>
        <v/>
      </c>
      <c r="G34" s="27" t="str">
        <f aca="false">IFERROR(G31/G7,"")</f>
        <v/>
      </c>
      <c r="H34" s="27" t="str">
        <f aca="false">IFERROR(H31/H7,"")</f>
        <v/>
      </c>
      <c r="I34" s="27" t="str">
        <f aca="false">IFERROR(I31/I7,"")</f>
        <v/>
      </c>
      <c r="J34" s="27" t="str">
        <f aca="false">IFERROR(J31/J7,"")</f>
        <v/>
      </c>
      <c r="K34" s="27" t="str">
        <f aca="false">IFERROR(K31/K7,"")</f>
        <v/>
      </c>
      <c r="L34" s="27" t="str">
        <f aca="false">IFERROR(L31/L7,"")</f>
        <v/>
      </c>
      <c r="M34" s="27" t="n">
        <f aca="false">IFERROR(M31/M7,"")</f>
        <v>0.0476190476190476</v>
      </c>
      <c r="N34" s="27" t="n">
        <f aca="false">IFERROR(N31/N7,"")</f>
        <v>0</v>
      </c>
      <c r="O34" s="30" t="n">
        <f aca="false">IFERROR(O31/O7,"")</f>
        <v>0.05</v>
      </c>
    </row>
  </sheetData>
  <mergeCells count="5">
    <mergeCell ref="A1:P1"/>
    <mergeCell ref="A2:P2"/>
    <mergeCell ref="A4:P4"/>
    <mergeCell ref="A13:P13"/>
    <mergeCell ref="A29:P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3" min="3" style="0" width="60"/>
    <col collapsed="false" customWidth="true" hidden="false" outlineLevel="0" max="15" min="4" style="0" width="10.5"/>
  </cols>
  <sheetData>
    <row r="1" customFormat="false" ht="24" hidden="false" customHeight="true" outlineLevel="0" collapsed="false">
      <c r="A1" s="1" t="s">
        <v>408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2" t="s">
        <v>409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3" t="s">
        <v>410</v>
      </c>
    </row>
    <row r="6" customFormat="false" ht="15" hidden="false" customHeight="false" outlineLevel="0" collapsed="false">
      <c r="A6" s="8" t="s">
        <v>411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 customFormat="false" ht="15" hidden="false" customHeight="false" outlineLevel="0" collapsed="false">
      <c r="A7" s="5" t="s">
        <v>41</v>
      </c>
      <c r="B7" s="5" t="s">
        <v>127</v>
      </c>
      <c r="C7" s="32" t="s">
        <v>185</v>
      </c>
      <c r="D7" s="32" t="s">
        <v>186</v>
      </c>
      <c r="E7" s="32" t="s">
        <v>187</v>
      </c>
      <c r="F7" s="32" t="s">
        <v>188</v>
      </c>
      <c r="G7" s="32" t="s">
        <v>189</v>
      </c>
      <c r="H7" s="32" t="s">
        <v>190</v>
      </c>
      <c r="I7" s="32" t="s">
        <v>191</v>
      </c>
      <c r="J7" s="32" t="s">
        <v>192</v>
      </c>
      <c r="K7" s="32" t="s">
        <v>193</v>
      </c>
      <c r="L7" s="32" t="s">
        <v>194</v>
      </c>
      <c r="M7" s="32" t="s">
        <v>195</v>
      </c>
      <c r="N7" s="32" t="s">
        <v>196</v>
      </c>
      <c r="O7" s="32" t="s">
        <v>197</v>
      </c>
    </row>
    <row r="8" customFormat="false" ht="15" hidden="false" customHeight="false" outlineLevel="0" collapsed="false">
      <c r="A8" s="5" t="s">
        <v>86</v>
      </c>
      <c r="B8" s="23" t="s">
        <v>412</v>
      </c>
      <c r="C8" s="33" t="n">
        <v>0</v>
      </c>
      <c r="D8" s="33" t="n">
        <v>0</v>
      </c>
      <c r="E8" s="33" t="n">
        <v>0</v>
      </c>
      <c r="F8" s="33" t="n">
        <v>0</v>
      </c>
      <c r="G8" s="33" t="n">
        <v>0</v>
      </c>
      <c r="H8" s="33" t="n">
        <v>0</v>
      </c>
      <c r="I8" s="33" t="n">
        <v>0</v>
      </c>
      <c r="J8" s="33" t="n">
        <v>0</v>
      </c>
      <c r="K8" s="33" t="n">
        <v>0</v>
      </c>
      <c r="L8" s="33" t="n">
        <v>0</v>
      </c>
      <c r="M8" s="33" t="n">
        <v>0</v>
      </c>
      <c r="N8" s="33" t="n">
        <v>0</v>
      </c>
      <c r="O8" s="29" t="n">
        <f aca="false">SUM(C8:N8)</f>
        <v>0</v>
      </c>
    </row>
    <row r="9" customFormat="false" ht="15" hidden="false" customHeight="false" outlineLevel="0" collapsed="false">
      <c r="A9" s="5" t="s">
        <v>413</v>
      </c>
      <c r="B9" s="23" t="s">
        <v>414</v>
      </c>
      <c r="C9" s="33" t="n">
        <v>0</v>
      </c>
      <c r="D9" s="33" t="n">
        <v>0</v>
      </c>
      <c r="E9" s="33" t="n">
        <v>0</v>
      </c>
      <c r="F9" s="33" t="n">
        <v>0</v>
      </c>
      <c r="G9" s="33" t="n">
        <v>0</v>
      </c>
      <c r="H9" s="33" t="n">
        <v>0</v>
      </c>
      <c r="I9" s="33" t="n">
        <v>0</v>
      </c>
      <c r="J9" s="33" t="n">
        <v>0</v>
      </c>
      <c r="K9" s="33" t="n">
        <v>0</v>
      </c>
      <c r="L9" s="33" t="n">
        <v>0</v>
      </c>
      <c r="M9" s="33" t="n">
        <v>0</v>
      </c>
      <c r="N9" s="33" t="n">
        <v>0</v>
      </c>
      <c r="O9" s="29" t="n">
        <f aca="false">SUM(C9:N9)</f>
        <v>0</v>
      </c>
    </row>
    <row r="10" customFormat="false" ht="15" hidden="false" customHeight="false" outlineLevel="0" collapsed="false">
      <c r="A10" s="5" t="s">
        <v>415</v>
      </c>
      <c r="B10" s="23" t="s">
        <v>414</v>
      </c>
      <c r="C10" s="33" t="n">
        <v>0</v>
      </c>
      <c r="D10" s="33" t="n">
        <v>0</v>
      </c>
      <c r="E10" s="33" t="n">
        <v>0</v>
      </c>
      <c r="F10" s="33" t="n">
        <v>0</v>
      </c>
      <c r="G10" s="33" t="n">
        <v>0</v>
      </c>
      <c r="H10" s="33" t="n">
        <v>0</v>
      </c>
      <c r="I10" s="33" t="n">
        <v>0</v>
      </c>
      <c r="J10" s="33" t="n">
        <v>0</v>
      </c>
      <c r="K10" s="33" t="n">
        <v>0</v>
      </c>
      <c r="L10" s="33" t="n">
        <v>0</v>
      </c>
      <c r="M10" s="33" t="n">
        <v>0</v>
      </c>
      <c r="N10" s="33" t="n">
        <v>0</v>
      </c>
      <c r="O10" s="29" t="n">
        <f aca="false">SUM(C10:N10)</f>
        <v>0</v>
      </c>
    </row>
    <row r="11" customFormat="false" ht="15" hidden="false" customHeight="false" outlineLevel="0" collapsed="false">
      <c r="A11" s="5" t="s">
        <v>416</v>
      </c>
      <c r="B11" s="23" t="s">
        <v>414</v>
      </c>
      <c r="C11" s="33" t="n">
        <v>0</v>
      </c>
      <c r="D11" s="33" t="n">
        <v>0</v>
      </c>
      <c r="E11" s="33" t="n">
        <v>0</v>
      </c>
      <c r="F11" s="33" t="n">
        <v>0</v>
      </c>
      <c r="G11" s="33" t="n">
        <v>0</v>
      </c>
      <c r="H11" s="33" t="n">
        <v>0</v>
      </c>
      <c r="I11" s="33" t="n">
        <v>0</v>
      </c>
      <c r="J11" s="33" t="n">
        <v>0</v>
      </c>
      <c r="K11" s="33" t="n">
        <v>0</v>
      </c>
      <c r="L11" s="33" t="n">
        <v>0</v>
      </c>
      <c r="M11" s="33" t="n">
        <v>0</v>
      </c>
      <c r="N11" s="33" t="n">
        <v>0</v>
      </c>
      <c r="O11" s="29" t="n">
        <f aca="false">SUM(C11:N11)</f>
        <v>0</v>
      </c>
    </row>
    <row r="12" customFormat="false" ht="15" hidden="false" customHeight="false" outlineLevel="0" collapsed="false">
      <c r="A12" s="5" t="s">
        <v>417</v>
      </c>
      <c r="B12" s="23" t="s">
        <v>418</v>
      </c>
      <c r="C12" s="33" t="n">
        <v>0</v>
      </c>
      <c r="D12" s="33" t="n">
        <v>0</v>
      </c>
      <c r="E12" s="33" t="n">
        <v>0</v>
      </c>
      <c r="F12" s="33" t="n">
        <v>0</v>
      </c>
      <c r="G12" s="33" t="n">
        <v>0</v>
      </c>
      <c r="H12" s="33" t="n">
        <v>0</v>
      </c>
      <c r="I12" s="33" t="n">
        <v>0</v>
      </c>
      <c r="J12" s="33" t="n">
        <v>0</v>
      </c>
      <c r="K12" s="33" t="n">
        <v>0</v>
      </c>
      <c r="L12" s="33" t="n">
        <v>0</v>
      </c>
      <c r="M12" s="33" t="n">
        <v>0</v>
      </c>
      <c r="N12" s="33" t="n">
        <v>16</v>
      </c>
      <c r="O12" s="29" t="n">
        <f aca="false">N12</f>
        <v>16</v>
      </c>
    </row>
    <row r="13" customFormat="false" ht="15" hidden="false" customHeight="false" outlineLevel="0" collapsed="false">
      <c r="A13" s="5" t="s">
        <v>419</v>
      </c>
      <c r="B13" s="23" t="s">
        <v>420</v>
      </c>
      <c r="C13" s="33" t="n">
        <v>0</v>
      </c>
      <c r="D13" s="33" t="n">
        <v>0</v>
      </c>
      <c r="E13" s="33" t="n">
        <v>0</v>
      </c>
      <c r="F13" s="33" t="n">
        <v>0</v>
      </c>
      <c r="G13" s="33" t="n">
        <v>0</v>
      </c>
      <c r="H13" s="33" t="n">
        <v>0</v>
      </c>
      <c r="I13" s="33" t="n">
        <v>0</v>
      </c>
      <c r="J13" s="33" t="n">
        <v>0</v>
      </c>
      <c r="K13" s="33" t="n">
        <v>0</v>
      </c>
      <c r="L13" s="33" t="n">
        <v>0</v>
      </c>
      <c r="M13" s="33" t="n">
        <v>0</v>
      </c>
      <c r="N13" s="33" t="n">
        <v>12</v>
      </c>
      <c r="O13" s="29" t="n">
        <f aca="false">N13</f>
        <v>12</v>
      </c>
    </row>
    <row r="15" customFormat="false" ht="15" hidden="false" customHeight="false" outlineLevel="0" collapsed="false">
      <c r="A15" s="8" t="s">
        <v>421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</row>
    <row r="16" customFormat="false" ht="15" hidden="false" customHeight="false" outlineLevel="0" collapsed="false">
      <c r="A16" s="5" t="s">
        <v>41</v>
      </c>
      <c r="B16" s="5" t="s">
        <v>127</v>
      </c>
      <c r="C16" s="32" t="s">
        <v>185</v>
      </c>
      <c r="D16" s="32" t="s">
        <v>186</v>
      </c>
      <c r="E16" s="32" t="s">
        <v>187</v>
      </c>
      <c r="F16" s="32" t="s">
        <v>188</v>
      </c>
      <c r="G16" s="32" t="s">
        <v>189</v>
      </c>
      <c r="H16" s="32" t="s">
        <v>190</v>
      </c>
      <c r="I16" s="32" t="s">
        <v>191</v>
      </c>
      <c r="J16" s="32" t="s">
        <v>192</v>
      </c>
      <c r="K16" s="32" t="s">
        <v>193</v>
      </c>
      <c r="L16" s="32" t="s">
        <v>194</v>
      </c>
      <c r="M16" s="32" t="s">
        <v>195</v>
      </c>
      <c r="N16" s="32" t="s">
        <v>196</v>
      </c>
      <c r="O16" s="32" t="s">
        <v>197</v>
      </c>
    </row>
    <row r="17" customFormat="false" ht="15" hidden="false" customHeight="false" outlineLevel="0" collapsed="false">
      <c r="A17" s="5" t="s">
        <v>422</v>
      </c>
      <c r="B17" s="23" t="s">
        <v>423</v>
      </c>
      <c r="C17" s="33" t="n">
        <v>0</v>
      </c>
      <c r="D17" s="33" t="n">
        <v>0</v>
      </c>
      <c r="E17" s="33" t="n">
        <v>0</v>
      </c>
      <c r="F17" s="33" t="n">
        <v>0</v>
      </c>
      <c r="G17" s="33" t="n">
        <v>0</v>
      </c>
      <c r="H17" s="33" t="n">
        <v>0</v>
      </c>
      <c r="I17" s="33" t="n">
        <v>0</v>
      </c>
      <c r="J17" s="33" t="n">
        <v>0</v>
      </c>
      <c r="K17" s="33" t="n">
        <v>0</v>
      </c>
      <c r="L17" s="33" t="n">
        <v>0</v>
      </c>
      <c r="M17" s="33" t="n">
        <v>10</v>
      </c>
      <c r="N17" s="33" t="n">
        <v>38</v>
      </c>
      <c r="O17" s="29" t="n">
        <f aca="false">SUM(C17:N17)</f>
        <v>48</v>
      </c>
    </row>
    <row r="19" customFormat="false" ht="15" hidden="false" customHeight="false" outlineLevel="0" collapsed="false">
      <c r="A19" s="23" t="s">
        <v>424</v>
      </c>
    </row>
    <row r="21" customFormat="false" ht="15" hidden="false" customHeight="false" outlineLevel="0" collapsed="false">
      <c r="A21" s="8" t="s">
        <v>425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</row>
    <row r="22" customFormat="false" ht="15" hidden="false" customHeight="false" outlineLevel="0" collapsed="false">
      <c r="A22" s="9" t="s">
        <v>426</v>
      </c>
      <c r="B22" s="9" t="s">
        <v>427</v>
      </c>
      <c r="C22" s="9" t="s">
        <v>161</v>
      </c>
    </row>
    <row r="23" customFormat="false" ht="15" hidden="false" customHeight="false" outlineLevel="0" collapsed="false">
      <c r="A23" s="5" t="s">
        <v>428</v>
      </c>
      <c r="B23" s="56" t="s">
        <v>429</v>
      </c>
      <c r="C23" s="7" t="s">
        <v>430</v>
      </c>
    </row>
    <row r="24" customFormat="false" ht="15" hidden="false" customHeight="false" outlineLevel="0" collapsed="false">
      <c r="A24" s="5" t="s">
        <v>431</v>
      </c>
      <c r="B24" s="56" t="s">
        <v>432</v>
      </c>
      <c r="C24" s="7" t="s">
        <v>433</v>
      </c>
    </row>
    <row r="25" customFormat="false" ht="15" hidden="false" customHeight="false" outlineLevel="0" collapsed="false">
      <c r="A25" s="5" t="s">
        <v>434</v>
      </c>
      <c r="B25" s="56" t="s">
        <v>435</v>
      </c>
      <c r="C25" s="7" t="s">
        <v>436</v>
      </c>
    </row>
    <row r="26" customFormat="false" ht="15" hidden="false" customHeight="false" outlineLevel="0" collapsed="false">
      <c r="A26" s="5" t="s">
        <v>437</v>
      </c>
      <c r="B26" s="56" t="s">
        <v>438</v>
      </c>
      <c r="C26" s="7" t="s">
        <v>439</v>
      </c>
    </row>
    <row r="27" customFormat="false" ht="15" hidden="false" customHeight="false" outlineLevel="0" collapsed="false">
      <c r="A27" s="5" t="s">
        <v>440</v>
      </c>
      <c r="B27" s="56" t="s">
        <v>441</v>
      </c>
      <c r="C27" s="7" t="s">
        <v>442</v>
      </c>
    </row>
    <row r="28" customFormat="false" ht="15" hidden="false" customHeight="false" outlineLevel="0" collapsed="false">
      <c r="A28" s="5" t="s">
        <v>443</v>
      </c>
      <c r="B28" s="56" t="s">
        <v>444</v>
      </c>
      <c r="C28" s="7" t="s">
        <v>445</v>
      </c>
    </row>
    <row r="30" customFormat="false" ht="15" hidden="false" customHeight="false" outlineLevel="0" collapsed="false">
      <c r="A30" s="8" t="s">
        <v>446</v>
      </c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</row>
    <row r="31" customFormat="false" ht="15" hidden="false" customHeight="false" outlineLevel="0" collapsed="false">
      <c r="A31" s="23" t="s">
        <v>447</v>
      </c>
    </row>
    <row r="32" customFormat="false" ht="15" hidden="false" customHeight="false" outlineLevel="0" collapsed="false">
      <c r="A32" s="9" t="s">
        <v>122</v>
      </c>
      <c r="B32" s="9" t="s">
        <v>448</v>
      </c>
      <c r="C32" s="9" t="s">
        <v>449</v>
      </c>
    </row>
    <row r="33" customFormat="false" ht="15" hidden="false" customHeight="false" outlineLevel="0" collapsed="false">
      <c r="A33" s="5" t="s">
        <v>450</v>
      </c>
      <c r="B33" s="57" t="n">
        <f aca="false">Calculator!B30</f>
        <v>3960</v>
      </c>
      <c r="C33" s="7" t="str">
        <f aca="false">Calculator!B27&amp;" mailboxes × "&amp;Calculator!B28&amp;"/day × "&amp;Calculator!B29&amp;" days"</f>
        <v>12 mailboxes × 15/day × 22 days</v>
      </c>
    </row>
    <row r="34" customFormat="false" ht="15" hidden="false" customHeight="false" outlineLevel="0" collapsed="false">
      <c r="A34" s="5" t="s">
        <v>451</v>
      </c>
      <c r="B34" s="57" t="n">
        <f aca="false">Calculator!B32</f>
        <v>3880.8</v>
      </c>
      <c r="C34" s="7" t="str">
        <f aca="false">TEXT(1-Calculator!B31,"0.0%")&amp;" deliverability"</f>
        <v>98.0% deliverability</v>
      </c>
    </row>
    <row r="35" customFormat="false" ht="15" hidden="false" customHeight="false" outlineLevel="0" collapsed="false">
      <c r="A35" s="5" t="s">
        <v>413</v>
      </c>
      <c r="B35" s="57" t="n">
        <f aca="false">Calculator!B38</f>
        <v>131.9472</v>
      </c>
      <c r="C35" s="7" t="str">
        <f aca="false">TEXT(Calculator!B33,"0.0%")&amp;" reply rate"</f>
        <v>3.4% reply rate</v>
      </c>
    </row>
    <row r="36" customFormat="false" ht="15" hidden="false" customHeight="false" outlineLevel="0" collapsed="false">
      <c r="A36" s="5" t="s">
        <v>452</v>
      </c>
      <c r="B36" s="57" t="n">
        <f aca="false">Calculator!B39</f>
        <v>43.542576</v>
      </c>
      <c r="C36" s="7" t="str">
        <f aca="false">TEXT(Calculator!B34,"0.0%")&amp;" of replies positive"</f>
        <v>33.0% of replies positive</v>
      </c>
    </row>
    <row r="37" customFormat="false" ht="15" hidden="false" customHeight="false" outlineLevel="0" collapsed="false">
      <c r="A37" s="5" t="s">
        <v>453</v>
      </c>
      <c r="B37" s="57" t="n">
        <f aca="false">Calculator!B40</f>
        <v>18.28788192</v>
      </c>
      <c r="C37" s="7" t="str">
        <f aca="false">TEXT(Calculator!B35,"0.0%")&amp;" positive → meeting"</f>
        <v>42.0% positive → meeting</v>
      </c>
    </row>
    <row r="38" customFormat="false" ht="15" hidden="false" customHeight="false" outlineLevel="0" collapsed="false">
      <c r="A38" s="5" t="s">
        <v>454</v>
      </c>
      <c r="B38" s="57" t="n">
        <f aca="false">Calculator!B41</f>
        <v>11.887123248</v>
      </c>
      <c r="C38" s="7" t="str">
        <f aca="false">TEXT(Calculator!B36,"0.0%")&amp;" meeting → trial"</f>
        <v>65.0% meeting → trial</v>
      </c>
    </row>
    <row r="39" customFormat="false" ht="15" hidden="false" customHeight="false" outlineLevel="0" collapsed="false">
      <c r="A39" s="5" t="s">
        <v>345</v>
      </c>
      <c r="B39" s="57" t="n">
        <f aca="false">Calculator!B42</f>
        <v>3.5661369744</v>
      </c>
      <c r="C39" s="7" t="str">
        <f aca="false">TEXT(Calculator!B37,"0.0%")&amp;" trial → paid"</f>
        <v>30.0% trial → paid</v>
      </c>
    </row>
  </sheetData>
  <mergeCells count="6">
    <mergeCell ref="A1:P1"/>
    <mergeCell ref="A2:P2"/>
    <mergeCell ref="A6:P6"/>
    <mergeCell ref="A15:P15"/>
    <mergeCell ref="A21:P21"/>
    <mergeCell ref="A30:P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40"/>
    <col collapsed="false" customWidth="true" hidden="false" outlineLevel="0" max="15" min="3" style="0" width="10.5"/>
  </cols>
  <sheetData>
    <row r="1" customFormat="false" ht="24" hidden="false" customHeight="true" outlineLevel="0" collapsed="false">
      <c r="A1" s="1" t="s">
        <v>455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3.5" hidden="false" customHeight="true" outlineLevel="0" collapsed="false">
      <c r="A2" s="2" t="s">
        <v>456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5" hidden="false" customHeight="false" outlineLevel="0" collapsed="false">
      <c r="A4" s="8" t="s">
        <v>457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9" t="s">
        <v>458</v>
      </c>
      <c r="B5" s="9" t="s">
        <v>459</v>
      </c>
      <c r="C5" s="9" t="s">
        <v>460</v>
      </c>
      <c r="D5" s="9" t="s">
        <v>461</v>
      </c>
      <c r="E5" s="9" t="s">
        <v>462</v>
      </c>
      <c r="F5" s="9" t="s">
        <v>46</v>
      </c>
      <c r="G5" s="9" t="s">
        <v>161</v>
      </c>
    </row>
    <row r="6" customFormat="false" ht="15" hidden="false" customHeight="false" outlineLevel="0" collapsed="false">
      <c r="A6" s="5" t="s">
        <v>463</v>
      </c>
      <c r="B6" s="4" t="s">
        <v>464</v>
      </c>
      <c r="C6" s="58" t="n">
        <v>100</v>
      </c>
      <c r="D6" s="18" t="n">
        <f aca="false">C6*12</f>
        <v>1200</v>
      </c>
      <c r="E6" s="7" t="s">
        <v>465</v>
      </c>
      <c r="F6" s="7" t="s">
        <v>466</v>
      </c>
      <c r="G6" s="7" t="s">
        <v>467</v>
      </c>
    </row>
    <row r="7" customFormat="false" ht="15" hidden="false" customHeight="false" outlineLevel="0" collapsed="false">
      <c r="A7" s="5" t="s">
        <v>468</v>
      </c>
      <c r="B7" s="4" t="s">
        <v>469</v>
      </c>
      <c r="C7" s="17" t="n">
        <f aca="false">N40</f>
        <v>7.9</v>
      </c>
      <c r="D7" s="18" t="n">
        <f aca="false">C7*12</f>
        <v>94.8</v>
      </c>
      <c r="E7" s="7" t="s">
        <v>465</v>
      </c>
      <c r="F7" s="7" t="s">
        <v>470</v>
      </c>
      <c r="G7" s="7" t="s">
        <v>471</v>
      </c>
    </row>
    <row r="8" customFormat="false" ht="15" hidden="false" customHeight="false" outlineLevel="0" collapsed="false">
      <c r="A8" s="5" t="s">
        <v>472</v>
      </c>
      <c r="B8" s="4" t="s">
        <v>469</v>
      </c>
      <c r="C8" s="58" t="n">
        <v>0</v>
      </c>
      <c r="D8" s="18" t="n">
        <f aca="false">C8*12</f>
        <v>0</v>
      </c>
      <c r="E8" s="7" t="s">
        <v>465</v>
      </c>
      <c r="F8" s="7" t="s">
        <v>470</v>
      </c>
      <c r="G8" s="7" t="s">
        <v>473</v>
      </c>
    </row>
    <row r="9" customFormat="false" ht="15" hidden="false" customHeight="false" outlineLevel="0" collapsed="false">
      <c r="A9" s="5" t="s">
        <v>474</v>
      </c>
      <c r="B9" s="4" t="s">
        <v>475</v>
      </c>
      <c r="C9" s="58" t="n">
        <v>20</v>
      </c>
      <c r="D9" s="18" t="n">
        <f aca="false">C9*12</f>
        <v>240</v>
      </c>
      <c r="E9" s="7" t="s">
        <v>465</v>
      </c>
      <c r="F9" s="7" t="s">
        <v>466</v>
      </c>
      <c r="G9" s="7" t="s">
        <v>467</v>
      </c>
    </row>
    <row r="10" customFormat="false" ht="15" hidden="false" customHeight="false" outlineLevel="0" collapsed="false">
      <c r="A10" s="5" t="s">
        <v>476</v>
      </c>
      <c r="B10" s="4" t="s">
        <v>477</v>
      </c>
      <c r="C10" s="58" t="n">
        <v>5</v>
      </c>
      <c r="D10" s="18" t="n">
        <f aca="false">C10*12</f>
        <v>60</v>
      </c>
      <c r="E10" s="7" t="s">
        <v>465</v>
      </c>
      <c r="F10" s="7" t="s">
        <v>466</v>
      </c>
      <c r="G10" s="7" t="s">
        <v>467</v>
      </c>
    </row>
    <row r="11" customFormat="false" ht="15" hidden="false" customHeight="false" outlineLevel="0" collapsed="false">
      <c r="A11" s="5" t="s">
        <v>478</v>
      </c>
      <c r="B11" s="4" t="s">
        <v>479</v>
      </c>
      <c r="C11" s="18" t="n">
        <f aca="false">D11/12</f>
        <v>3.33333333333333</v>
      </c>
      <c r="D11" s="58" t="n">
        <v>40</v>
      </c>
      <c r="E11" s="7" t="s">
        <v>465</v>
      </c>
      <c r="F11" s="7" t="s">
        <v>480</v>
      </c>
      <c r="G11" s="7" t="s">
        <v>481</v>
      </c>
    </row>
    <row r="12" customFormat="false" ht="15" hidden="false" customHeight="false" outlineLevel="0" collapsed="false">
      <c r="A12" s="5" t="s">
        <v>482</v>
      </c>
      <c r="B12" s="4" t="s">
        <v>483</v>
      </c>
      <c r="C12" s="58" t="n">
        <v>0</v>
      </c>
      <c r="D12" s="18" t="n">
        <f aca="false">C12*12</f>
        <v>0</v>
      </c>
      <c r="E12" s="7" t="s">
        <v>465</v>
      </c>
      <c r="F12" s="3" t="s">
        <v>484</v>
      </c>
      <c r="G12" s="7" t="s">
        <v>485</v>
      </c>
    </row>
    <row r="13" customFormat="false" ht="15" hidden="false" customHeight="false" outlineLevel="0" collapsed="false">
      <c r="A13" s="5" t="s">
        <v>486</v>
      </c>
      <c r="C13" s="59" t="n">
        <f aca="false">SUM(C6:C12)</f>
        <v>136.233333333333</v>
      </c>
      <c r="D13" s="59" t="n">
        <f aca="false">SUM(D6:D12)</f>
        <v>1634.8</v>
      </c>
    </row>
    <row r="15" customFormat="false" ht="15" hidden="false" customHeight="false" outlineLevel="0" collapsed="false">
      <c r="A15" s="5" t="s">
        <v>487</v>
      </c>
      <c r="B15" s="4" t="s">
        <v>488</v>
      </c>
      <c r="C15" s="58" t="n">
        <v>29</v>
      </c>
      <c r="D15" s="18" t="n">
        <f aca="false">C15*12</f>
        <v>348</v>
      </c>
      <c r="E15" s="7" t="s">
        <v>489</v>
      </c>
      <c r="F15" s="7" t="s">
        <v>466</v>
      </c>
      <c r="G15" s="7" t="s">
        <v>467</v>
      </c>
    </row>
    <row r="16" customFormat="false" ht="15" hidden="false" customHeight="false" outlineLevel="0" collapsed="false">
      <c r="A16" s="5" t="s">
        <v>490</v>
      </c>
      <c r="B16" s="4" t="s">
        <v>491</v>
      </c>
      <c r="C16" s="58" t="n">
        <v>99</v>
      </c>
      <c r="D16" s="18" t="n">
        <f aca="false">C16*12</f>
        <v>1188</v>
      </c>
      <c r="E16" s="7" t="s">
        <v>489</v>
      </c>
      <c r="F16" s="7" t="s">
        <v>466</v>
      </c>
      <c r="G16" s="7" t="s">
        <v>467</v>
      </c>
    </row>
    <row r="17" customFormat="false" ht="15" hidden="false" customHeight="false" outlineLevel="0" collapsed="false">
      <c r="A17" s="5" t="s">
        <v>492</v>
      </c>
      <c r="B17" s="4" t="s">
        <v>493</v>
      </c>
      <c r="C17" s="58" t="n">
        <v>59</v>
      </c>
      <c r="D17" s="18" t="n">
        <f aca="false">C17*12</f>
        <v>708</v>
      </c>
      <c r="E17" s="7" t="s">
        <v>489</v>
      </c>
      <c r="F17" s="7" t="s">
        <v>466</v>
      </c>
      <c r="G17" s="7" t="s">
        <v>494</v>
      </c>
    </row>
    <row r="18" customFormat="false" ht="15" hidden="false" customHeight="false" outlineLevel="0" collapsed="false">
      <c r="A18" s="5" t="s">
        <v>495</v>
      </c>
      <c r="B18" s="4" t="s">
        <v>493</v>
      </c>
      <c r="C18" s="58" t="n">
        <v>59</v>
      </c>
      <c r="D18" s="18" t="n">
        <f aca="false">C18*12</f>
        <v>708</v>
      </c>
      <c r="E18" s="7" t="s">
        <v>489</v>
      </c>
      <c r="F18" s="7" t="s">
        <v>466</v>
      </c>
      <c r="G18" s="7" t="s">
        <v>467</v>
      </c>
    </row>
    <row r="19" customFormat="false" ht="15" hidden="false" customHeight="false" outlineLevel="0" collapsed="false">
      <c r="A19" s="5" t="s">
        <v>496</v>
      </c>
      <c r="B19" s="4" t="s">
        <v>497</v>
      </c>
      <c r="C19" s="18" t="n">
        <f aca="false">D19/12</f>
        <v>11.75</v>
      </c>
      <c r="D19" s="58" t="n">
        <v>141</v>
      </c>
      <c r="E19" s="7" t="s">
        <v>489</v>
      </c>
      <c r="F19" s="7" t="s">
        <v>480</v>
      </c>
      <c r="G19" s="7" t="s">
        <v>498</v>
      </c>
    </row>
    <row r="20" customFormat="false" ht="15" hidden="false" customHeight="false" outlineLevel="0" collapsed="false">
      <c r="A20" s="5" t="s">
        <v>499</v>
      </c>
      <c r="C20" s="59" t="n">
        <f aca="false">SUM(C15:C19)</f>
        <v>257.75</v>
      </c>
      <c r="D20" s="59" t="n">
        <f aca="false">SUM(D15:D19)</f>
        <v>3093</v>
      </c>
    </row>
    <row r="22" customFormat="false" ht="15" hidden="false" customHeight="false" outlineLevel="0" collapsed="false">
      <c r="A22" s="5" t="s">
        <v>500</v>
      </c>
      <c r="C22" s="60" t="n">
        <f aca="false">C13+C20</f>
        <v>393.983333333333</v>
      </c>
      <c r="D22" s="60" t="n">
        <f aca="false">D13+D20</f>
        <v>4727.8</v>
      </c>
      <c r="G22" s="23" t="s">
        <v>501</v>
      </c>
    </row>
    <row r="23" customFormat="false" ht="15" hidden="false" customHeight="false" outlineLevel="0" collapsed="false">
      <c r="A23" s="23" t="s">
        <v>502</v>
      </c>
      <c r="C23" s="23"/>
      <c r="G23" s="51" t="s">
        <v>503</v>
      </c>
    </row>
    <row r="25" customFormat="false" ht="15" hidden="false" customHeight="false" outlineLevel="0" collapsed="false">
      <c r="A25" s="8" t="s">
        <v>504</v>
      </c>
      <c r="B25" s="8"/>
      <c r="C25" s="8"/>
      <c r="D25" s="8"/>
      <c r="E25" s="8"/>
      <c r="F25" s="8"/>
      <c r="G25" s="8"/>
    </row>
    <row r="26" customFormat="false" ht="15" hidden="false" customHeight="false" outlineLevel="0" collapsed="false">
      <c r="A26" s="9" t="s">
        <v>426</v>
      </c>
      <c r="B26" s="9" t="s">
        <v>505</v>
      </c>
      <c r="C26" s="9" t="s">
        <v>506</v>
      </c>
      <c r="D26" s="9" t="s">
        <v>507</v>
      </c>
      <c r="E26" s="9" t="s">
        <v>161</v>
      </c>
    </row>
    <row r="27" customFormat="false" ht="15" hidden="false" customHeight="false" outlineLevel="0" collapsed="false">
      <c r="A27" s="5" t="s">
        <v>508</v>
      </c>
      <c r="B27" s="54" t="n">
        <v>40</v>
      </c>
      <c r="C27" s="4" t="s">
        <v>509</v>
      </c>
      <c r="D27" s="4" t="s">
        <v>510</v>
      </c>
      <c r="E27" s="7" t="s">
        <v>511</v>
      </c>
    </row>
    <row r="28" customFormat="false" ht="15" hidden="false" customHeight="false" outlineLevel="0" collapsed="false">
      <c r="A28" s="5" t="s">
        <v>512</v>
      </c>
      <c r="B28" s="54" t="n">
        <v>160</v>
      </c>
      <c r="C28" s="4" t="s">
        <v>513</v>
      </c>
      <c r="D28" s="4" t="s">
        <v>514</v>
      </c>
      <c r="E28" s="7" t="s">
        <v>515</v>
      </c>
    </row>
    <row r="30" customFormat="false" ht="15" hidden="false" customHeight="false" outlineLevel="0" collapsed="false">
      <c r="A30" s="8" t="s">
        <v>516</v>
      </c>
      <c r="B30" s="8"/>
      <c r="C30" s="8"/>
      <c r="D30" s="8"/>
      <c r="E30" s="8"/>
      <c r="F30" s="8"/>
      <c r="G30" s="8"/>
    </row>
    <row r="31" customFormat="false" ht="15" hidden="false" customHeight="false" outlineLevel="0" collapsed="false">
      <c r="A31" s="9" t="s">
        <v>517</v>
      </c>
      <c r="B31" s="9" t="s">
        <v>518</v>
      </c>
      <c r="C31" s="9" t="s">
        <v>519</v>
      </c>
      <c r="D31" s="9" t="s">
        <v>520</v>
      </c>
      <c r="E31" s="9" t="s">
        <v>161</v>
      </c>
    </row>
    <row r="32" customFormat="false" ht="15" hidden="false" customHeight="false" outlineLevel="0" collapsed="false">
      <c r="A32" s="5" t="s">
        <v>521</v>
      </c>
      <c r="B32" s="58" t="n">
        <v>59</v>
      </c>
      <c r="C32" s="18" t="n">
        <f aca="false">$C$22-$C$17+B32</f>
        <v>393.983333333333</v>
      </c>
      <c r="D32" s="18" t="n">
        <f aca="false">C32-$C$22</f>
        <v>0</v>
      </c>
      <c r="E32" s="7" t="s">
        <v>522</v>
      </c>
    </row>
    <row r="33" customFormat="false" ht="15" hidden="false" customHeight="false" outlineLevel="0" collapsed="false">
      <c r="A33" s="5" t="s">
        <v>523</v>
      </c>
      <c r="B33" s="58" t="n">
        <v>0</v>
      </c>
      <c r="C33" s="18" t="n">
        <f aca="false">$C$22-$C$17+B33</f>
        <v>334.983333333333</v>
      </c>
      <c r="D33" s="18" t="n">
        <f aca="false">C33-$C$22</f>
        <v>-59</v>
      </c>
      <c r="E33" s="7" t="s">
        <v>524</v>
      </c>
    </row>
    <row r="34" customFormat="false" ht="15" hidden="false" customHeight="false" outlineLevel="0" collapsed="false">
      <c r="A34" s="5" t="s">
        <v>525</v>
      </c>
      <c r="B34" s="58" t="n">
        <v>159</v>
      </c>
      <c r="C34" s="18" t="n">
        <f aca="false">$C$22-$C$17+B34</f>
        <v>493.983333333333</v>
      </c>
      <c r="D34" s="18" t="n">
        <f aca="false">C34-$C$22</f>
        <v>100</v>
      </c>
      <c r="E34" s="7" t="s">
        <v>526</v>
      </c>
    </row>
    <row r="37" customFormat="false" ht="15" hidden="false" customHeight="false" outlineLevel="0" collapsed="false">
      <c r="A37" s="8" t="s">
        <v>527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</row>
    <row r="38" customFormat="false" ht="15" hidden="false" customHeight="false" outlineLevel="0" collapsed="false">
      <c r="A38" s="23" t="s">
        <v>528</v>
      </c>
    </row>
    <row r="39" customFormat="false" ht="15" hidden="false" customHeight="false" outlineLevel="0" collapsed="false">
      <c r="A39" s="5" t="s">
        <v>529</v>
      </c>
      <c r="B39" s="5" t="s">
        <v>127</v>
      </c>
      <c r="C39" s="32" t="s">
        <v>185</v>
      </c>
      <c r="D39" s="32" t="s">
        <v>186</v>
      </c>
      <c r="E39" s="32" t="s">
        <v>187</v>
      </c>
      <c r="F39" s="32" t="s">
        <v>188</v>
      </c>
      <c r="G39" s="32" t="s">
        <v>189</v>
      </c>
      <c r="H39" s="32" t="s">
        <v>190</v>
      </c>
      <c r="I39" s="32" t="s">
        <v>191</v>
      </c>
      <c r="J39" s="32" t="s">
        <v>192</v>
      </c>
      <c r="K39" s="32" t="s">
        <v>193</v>
      </c>
      <c r="L39" s="32" t="s">
        <v>194</v>
      </c>
      <c r="M39" s="32" t="s">
        <v>195</v>
      </c>
      <c r="N39" s="32" t="s">
        <v>196</v>
      </c>
      <c r="O39" s="32" t="s">
        <v>197</v>
      </c>
    </row>
    <row r="40" customFormat="false" ht="15" hidden="false" customHeight="false" outlineLevel="0" collapsed="false">
      <c r="A40" s="5" t="s">
        <v>468</v>
      </c>
      <c r="B40" s="23" t="s">
        <v>530</v>
      </c>
      <c r="C40" s="54" t="n">
        <v>0</v>
      </c>
      <c r="D40" s="54" t="n">
        <v>0</v>
      </c>
      <c r="E40" s="54" t="n">
        <v>0</v>
      </c>
      <c r="F40" s="54" t="n">
        <v>0</v>
      </c>
      <c r="G40" s="54" t="n">
        <v>0</v>
      </c>
      <c r="H40" s="54" t="n">
        <v>0</v>
      </c>
      <c r="I40" s="54" t="n">
        <v>0</v>
      </c>
      <c r="J40" s="54" t="n">
        <v>0</v>
      </c>
      <c r="K40" s="54" t="n">
        <v>0</v>
      </c>
      <c r="L40" s="54" t="n">
        <v>0.19</v>
      </c>
      <c r="M40" s="54" t="n">
        <v>26.75</v>
      </c>
      <c r="N40" s="54" t="n">
        <v>7.9</v>
      </c>
      <c r="O40" s="59" t="n">
        <f aca="false">SUM(C40:N40)</f>
        <v>34.84</v>
      </c>
    </row>
    <row r="41" customFormat="false" ht="15" hidden="false" customHeight="false" outlineLevel="0" collapsed="false">
      <c r="A41" s="5" t="s">
        <v>531</v>
      </c>
      <c r="B41" s="23" t="s">
        <v>532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 t="n">
        <v>100</v>
      </c>
      <c r="O41" s="59" t="n">
        <f aca="false">SUM(C41:N41)</f>
        <v>100</v>
      </c>
    </row>
    <row r="42" customFormat="false" ht="15" hidden="false" customHeight="false" outlineLevel="0" collapsed="false">
      <c r="A42" s="5" t="s">
        <v>474</v>
      </c>
      <c r="B42" s="23" t="s">
        <v>532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 t="n">
        <v>20</v>
      </c>
      <c r="O42" s="59" t="n">
        <f aca="false">SUM(C42:N42)</f>
        <v>20</v>
      </c>
    </row>
    <row r="43" customFormat="false" ht="15" hidden="false" customHeight="false" outlineLevel="0" collapsed="false">
      <c r="A43" s="5" t="s">
        <v>476</v>
      </c>
      <c r="B43" s="23" t="s">
        <v>532</v>
      </c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 t="n">
        <v>5</v>
      </c>
      <c r="O43" s="59" t="n">
        <f aca="false">SUM(C43:N43)</f>
        <v>5</v>
      </c>
    </row>
    <row r="44" customFormat="false" ht="15" hidden="false" customHeight="false" outlineLevel="0" collapsed="false">
      <c r="A44" s="5" t="s">
        <v>487</v>
      </c>
      <c r="B44" s="23" t="s">
        <v>532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 t="n">
        <v>29</v>
      </c>
      <c r="O44" s="59" t="n">
        <f aca="false">SUM(C44:N44)</f>
        <v>29</v>
      </c>
    </row>
    <row r="45" customFormat="false" ht="15" hidden="false" customHeight="false" outlineLevel="0" collapsed="false">
      <c r="A45" s="5" t="s">
        <v>490</v>
      </c>
      <c r="B45" s="23" t="s">
        <v>532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 t="n">
        <v>99</v>
      </c>
      <c r="O45" s="59" t="n">
        <f aca="false">SUM(C45:N45)</f>
        <v>99</v>
      </c>
    </row>
    <row r="46" customFormat="false" ht="15" hidden="false" customHeight="false" outlineLevel="0" collapsed="false">
      <c r="A46" s="5" t="s">
        <v>492</v>
      </c>
      <c r="B46" s="23" t="s">
        <v>532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 t="n">
        <v>59</v>
      </c>
      <c r="O46" s="59" t="n">
        <f aca="false">SUM(C46:N46)</f>
        <v>59</v>
      </c>
    </row>
    <row r="47" customFormat="false" ht="15" hidden="false" customHeight="false" outlineLevel="0" collapsed="false">
      <c r="A47" s="5" t="s">
        <v>495</v>
      </c>
      <c r="B47" s="23" t="s">
        <v>532</v>
      </c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 t="n">
        <v>59</v>
      </c>
      <c r="O47" s="59" t="n">
        <f aca="false">SUM(C47:N47)</f>
        <v>59</v>
      </c>
    </row>
    <row r="48" customFormat="false" ht="15" hidden="false" customHeight="false" outlineLevel="0" collapsed="false">
      <c r="A48" s="5" t="s">
        <v>533</v>
      </c>
      <c r="B48" s="23" t="s">
        <v>534</v>
      </c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 t="n">
        <v>141</v>
      </c>
      <c r="O48" s="59" t="n">
        <f aca="false">SUM(C48:N48)</f>
        <v>141</v>
      </c>
    </row>
    <row r="49" customFormat="false" ht="15" hidden="false" customHeight="false" outlineLevel="0" collapsed="false">
      <c r="A49" s="5" t="s">
        <v>535</v>
      </c>
      <c r="B49" s="23" t="s">
        <v>536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9" t="n">
        <f aca="false">SUM(C49:N49)</f>
        <v>0</v>
      </c>
    </row>
    <row r="50" customFormat="false" ht="15" hidden="false" customHeight="false" outlineLevel="0" collapsed="false">
      <c r="A50" s="5" t="s">
        <v>173</v>
      </c>
      <c r="B50" s="23"/>
      <c r="C50" s="59" t="n">
        <f aca="false">SUM(C40:C49)</f>
        <v>0</v>
      </c>
      <c r="D50" s="59" t="n">
        <f aca="false">SUM(D40:D49)</f>
        <v>0</v>
      </c>
      <c r="E50" s="59" t="n">
        <f aca="false">SUM(E40:E49)</f>
        <v>0</v>
      </c>
      <c r="F50" s="59" t="n">
        <f aca="false">SUM(F40:F49)</f>
        <v>0</v>
      </c>
      <c r="G50" s="59" t="n">
        <f aca="false">SUM(G40:G49)</f>
        <v>0</v>
      </c>
      <c r="H50" s="59" t="n">
        <f aca="false">SUM(H40:H49)</f>
        <v>0</v>
      </c>
      <c r="I50" s="59" t="n">
        <f aca="false">SUM(I40:I49)</f>
        <v>0</v>
      </c>
      <c r="J50" s="59" t="n">
        <f aca="false">SUM(J40:J49)</f>
        <v>0</v>
      </c>
      <c r="K50" s="59" t="n">
        <f aca="false">SUM(K40:K49)</f>
        <v>0</v>
      </c>
      <c r="L50" s="59" t="n">
        <f aca="false">SUM(L40:L49)</f>
        <v>0.19</v>
      </c>
      <c r="M50" s="59" t="n">
        <f aca="false">SUM(M40:M49)</f>
        <v>26.75</v>
      </c>
      <c r="N50" s="59" t="n">
        <f aca="false">SUM(N40:N49)</f>
        <v>519.9</v>
      </c>
      <c r="O50" s="59" t="n">
        <f aca="false">SUM(C50:N50)</f>
        <v>546.84</v>
      </c>
    </row>
  </sheetData>
  <mergeCells count="6">
    <mergeCell ref="A1:P1"/>
    <mergeCell ref="A2:P2"/>
    <mergeCell ref="A4:G4"/>
    <mergeCell ref="A25:G25"/>
    <mergeCell ref="A30:G30"/>
    <mergeCell ref="A37:P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3" min="2" style="0" width="18"/>
    <col collapsed="false" customWidth="true" hidden="false" outlineLevel="0" max="4" min="4" style="0" width="22"/>
    <col collapsed="false" customWidth="true" hidden="false" outlineLevel="0" max="7" min="5" style="0" width="16"/>
    <col collapsed="false" customWidth="true" hidden="false" outlineLevel="0" max="8" min="8" style="0" width="50"/>
  </cols>
  <sheetData>
    <row r="1" customFormat="false" ht="24" hidden="false" customHeight="true" outlineLevel="0" collapsed="false">
      <c r="A1" s="1" t="s">
        <v>537</v>
      </c>
      <c r="B1" s="1"/>
      <c r="C1" s="1"/>
      <c r="D1" s="1"/>
      <c r="E1" s="1"/>
      <c r="F1" s="1"/>
      <c r="G1" s="1"/>
      <c r="H1" s="1"/>
    </row>
    <row r="2" customFormat="false" ht="13.5" hidden="false" customHeight="true" outlineLevel="0" collapsed="false">
      <c r="A2" s="2" t="s">
        <v>538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9" t="s">
        <v>41</v>
      </c>
      <c r="B4" s="9" t="s">
        <v>539</v>
      </c>
      <c r="C4" s="9" t="s">
        <v>540</v>
      </c>
      <c r="D4" s="9" t="s">
        <v>126</v>
      </c>
      <c r="E4" s="9" t="s">
        <v>46</v>
      </c>
      <c r="F4" s="9"/>
      <c r="G4" s="9"/>
      <c r="H4" s="9" t="s">
        <v>541</v>
      </c>
    </row>
    <row r="5" customFormat="false" ht="15" hidden="false" customHeight="false" outlineLevel="0" collapsed="false">
      <c r="A5" s="5" t="s">
        <v>542</v>
      </c>
      <c r="B5" s="61" t="n">
        <v>0</v>
      </c>
      <c r="C5" s="57" t="n">
        <f aca="false">Calculator!B61</f>
        <v>4.1522369744</v>
      </c>
      <c r="D5" s="7" t="s">
        <v>56</v>
      </c>
      <c r="E5" s="15" t="s">
        <v>59</v>
      </c>
      <c r="H5" s="7" t="s">
        <v>543</v>
      </c>
    </row>
    <row r="6" customFormat="false" ht="15" hidden="false" customHeight="false" outlineLevel="0" collapsed="false">
      <c r="A6" s="5" t="s">
        <v>544</v>
      </c>
      <c r="B6" s="62" t="n">
        <v>0</v>
      </c>
      <c r="C6" s="43" t="n">
        <f aca="false">Calculator!B15</f>
        <v>236.8317</v>
      </c>
      <c r="D6" s="7" t="s">
        <v>56</v>
      </c>
      <c r="E6" s="15" t="s">
        <v>59</v>
      </c>
      <c r="H6" s="7" t="s">
        <v>545</v>
      </c>
    </row>
    <row r="7" customFormat="false" ht="15" hidden="false" customHeight="false" outlineLevel="0" collapsed="false">
      <c r="A7" s="5" t="s">
        <v>546</v>
      </c>
      <c r="B7" s="63" t="n">
        <f aca="false">Expenses!C20</f>
        <v>257.75</v>
      </c>
      <c r="C7" s="43" t="n">
        <f aca="false">Calculator!B63</f>
        <v>5257.75</v>
      </c>
      <c r="D7" s="7" t="s">
        <v>56</v>
      </c>
      <c r="E7" s="15" t="s">
        <v>59</v>
      </c>
      <c r="H7" s="7" t="s">
        <v>547</v>
      </c>
    </row>
    <row r="8" customFormat="false" ht="15" hidden="false" customHeight="false" outlineLevel="0" collapsed="false">
      <c r="A8" s="5" t="s">
        <v>301</v>
      </c>
      <c r="B8" s="64" t="s">
        <v>548</v>
      </c>
      <c r="C8" s="43" t="n">
        <f aca="false">Calculator!B64</f>
        <v>1266.24516674166</v>
      </c>
      <c r="D8" s="7" t="s">
        <v>549</v>
      </c>
      <c r="E8" s="16" t="s">
        <v>550</v>
      </c>
      <c r="H8" s="7" t="s">
        <v>551</v>
      </c>
    </row>
    <row r="9" customFormat="false" ht="15" hidden="false" customHeight="false" outlineLevel="0" collapsed="false">
      <c r="A9" s="5" t="s">
        <v>281</v>
      </c>
      <c r="B9" s="64" t="s">
        <v>548</v>
      </c>
      <c r="C9" s="65" t="n">
        <f aca="false">Calculator!B52</f>
        <v>0.85</v>
      </c>
      <c r="D9" s="7" t="s">
        <v>552</v>
      </c>
      <c r="E9" s="16" t="s">
        <v>550</v>
      </c>
      <c r="H9" s="7" t="s">
        <v>553</v>
      </c>
    </row>
    <row r="10" customFormat="false" ht="15" hidden="false" customHeight="false" outlineLevel="0" collapsed="false">
      <c r="A10" s="5" t="s">
        <v>554</v>
      </c>
      <c r="B10" s="64" t="s">
        <v>548</v>
      </c>
      <c r="C10" s="65" t="n">
        <f aca="false">Calculator!B50</f>
        <v>0.05</v>
      </c>
      <c r="D10" s="7" t="s">
        <v>555</v>
      </c>
      <c r="E10" s="16" t="s">
        <v>550</v>
      </c>
      <c r="H10" s="7" t="s">
        <v>556</v>
      </c>
    </row>
    <row r="11" customFormat="false" ht="15" hidden="false" customHeight="false" outlineLevel="0" collapsed="false">
      <c r="A11" s="5" t="s">
        <v>557</v>
      </c>
      <c r="B11" s="64" t="s">
        <v>548</v>
      </c>
      <c r="C11" s="43" t="n">
        <f aca="false">Calculator!B67</f>
        <v>4026.1389</v>
      </c>
      <c r="D11" s="7" t="s">
        <v>56</v>
      </c>
      <c r="E11" s="16" t="s">
        <v>550</v>
      </c>
      <c r="H11" s="7" t="s">
        <v>558</v>
      </c>
    </row>
    <row r="12" customFormat="false" ht="15" hidden="false" customHeight="false" outlineLevel="0" collapsed="false">
      <c r="A12" s="5" t="s">
        <v>310</v>
      </c>
      <c r="B12" s="64" t="s">
        <v>548</v>
      </c>
      <c r="C12" s="66" t="n">
        <f aca="false">Calculator!B68</f>
        <v>3.17958876033477</v>
      </c>
      <c r="D12" s="7" t="s">
        <v>311</v>
      </c>
      <c r="E12" s="16" t="s">
        <v>550</v>
      </c>
      <c r="H12" s="7" t="s">
        <v>559</v>
      </c>
    </row>
    <row r="13" customFormat="false" ht="15" hidden="false" customHeight="false" outlineLevel="0" collapsed="false">
      <c r="A13" s="5" t="s">
        <v>313</v>
      </c>
      <c r="B13" s="64" t="s">
        <v>548</v>
      </c>
      <c r="C13" s="57" t="n">
        <f aca="false">Calculator!B69</f>
        <v>6.29012161871344</v>
      </c>
      <c r="D13" s="7" t="s">
        <v>314</v>
      </c>
      <c r="E13" s="16" t="s">
        <v>550</v>
      </c>
      <c r="H13" s="7" t="s">
        <v>560</v>
      </c>
    </row>
    <row r="14" customFormat="false" ht="15" hidden="false" customHeight="false" outlineLevel="0" collapsed="false">
      <c r="A14" s="5" t="s">
        <v>316</v>
      </c>
      <c r="B14" s="64" t="s">
        <v>548</v>
      </c>
      <c r="C14" s="43" t="n">
        <f aca="false">Calculator!B70</f>
        <v>19667.6268290002</v>
      </c>
      <c r="D14" s="7" t="s">
        <v>56</v>
      </c>
      <c r="E14" s="16" t="s">
        <v>550</v>
      </c>
      <c r="H14" s="7" t="s">
        <v>561</v>
      </c>
    </row>
    <row r="16" customFormat="false" ht="15" hidden="false" customHeight="false" outlineLevel="0" collapsed="false">
      <c r="A16" s="23" t="s">
        <v>562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"/>
    <col collapsed="false" customWidth="true" hidden="false" outlineLevel="0" max="26" min="3" style="0" width="10.5"/>
  </cols>
  <sheetData>
    <row r="1" customFormat="false" ht="24" hidden="false" customHeight="true" outlineLevel="0" collapsed="false">
      <c r="A1" s="1" t="s">
        <v>563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3.5" hidden="false" customHeight="true" outlineLevel="0" collapsed="false">
      <c r="A2" s="2" t="s">
        <v>564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5" hidden="false" customHeight="false" outlineLevel="0" collapsed="false">
      <c r="A4" s="23" t="s">
        <v>565</v>
      </c>
    </row>
    <row r="6" customFormat="false" ht="15" hidden="false" customHeight="false" outlineLevel="0" collapsed="false">
      <c r="A6" s="8" t="s">
        <v>566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customFormat="false" ht="15" hidden="false" customHeight="false" outlineLevel="0" collapsed="false">
      <c r="A7" s="4" t="s">
        <v>567</v>
      </c>
      <c r="B7" s="67" t="n">
        <f aca="false">Calculator!B18</f>
        <v>41</v>
      </c>
    </row>
    <row r="8" customFormat="false" ht="15" hidden="false" customHeight="false" outlineLevel="0" collapsed="false">
      <c r="A8" s="4" t="s">
        <v>568</v>
      </c>
      <c r="B8" s="37" t="n">
        <v>0.15</v>
      </c>
    </row>
    <row r="9" customFormat="false" ht="15" hidden="false" customHeight="false" outlineLevel="0" collapsed="false">
      <c r="A9" s="4" t="s">
        <v>237</v>
      </c>
      <c r="B9" s="68" t="n">
        <f aca="false">Calculator!B19</f>
        <v>0.025</v>
      </c>
    </row>
    <row r="10" customFormat="false" ht="15" hidden="false" customHeight="false" outlineLevel="0" collapsed="false">
      <c r="A10" s="4" t="s">
        <v>239</v>
      </c>
      <c r="B10" s="65" t="n">
        <f aca="false">Calculator!B20</f>
        <v>0.7</v>
      </c>
    </row>
    <row r="11" customFormat="false" ht="15" hidden="false" customHeight="false" outlineLevel="0" collapsed="false">
      <c r="A11" s="4" t="s">
        <v>241</v>
      </c>
      <c r="B11" s="65" t="n">
        <f aca="false">Calculator!B21</f>
        <v>0.12</v>
      </c>
    </row>
    <row r="12" customFormat="false" ht="15" hidden="false" customHeight="false" outlineLevel="0" collapsed="false">
      <c r="A12" s="4" t="s">
        <v>569</v>
      </c>
      <c r="B12" s="67" t="n">
        <f aca="false">Calculator!B30</f>
        <v>3960</v>
      </c>
    </row>
    <row r="13" customFormat="false" ht="15" hidden="false" customHeight="false" outlineLevel="0" collapsed="false">
      <c r="A13" s="4" t="s">
        <v>570</v>
      </c>
      <c r="B13" s="37" t="n">
        <v>0.05</v>
      </c>
    </row>
    <row r="14" customFormat="false" ht="15" hidden="false" customHeight="false" outlineLevel="0" collapsed="false">
      <c r="A14" s="4" t="s">
        <v>571</v>
      </c>
      <c r="B14" s="68" t="n">
        <f aca="false">IFERROR(Calculator!B42/Calculator!B30,0)</f>
        <v>0.00090053964</v>
      </c>
    </row>
    <row r="15" customFormat="false" ht="15" hidden="false" customHeight="false" outlineLevel="0" collapsed="false">
      <c r="A15" s="4" t="s">
        <v>572</v>
      </c>
      <c r="B15" s="57" t="n">
        <f aca="false">Calculator!B47</f>
        <v>0.5</v>
      </c>
    </row>
    <row r="16" customFormat="false" ht="15" hidden="false" customHeight="false" outlineLevel="0" collapsed="false">
      <c r="A16" s="4" t="s">
        <v>544</v>
      </c>
      <c r="B16" s="43" t="n">
        <f aca="false">Calculator!B15</f>
        <v>236.8317</v>
      </c>
    </row>
    <row r="17" customFormat="false" ht="15" hidden="false" customHeight="false" outlineLevel="0" collapsed="false">
      <c r="A17" s="4" t="s">
        <v>554</v>
      </c>
      <c r="B17" s="65" t="n">
        <f aca="false">Calculator!B50</f>
        <v>0.05</v>
      </c>
    </row>
    <row r="18" customFormat="false" ht="15" hidden="false" customHeight="false" outlineLevel="0" collapsed="false">
      <c r="A18" s="4" t="s">
        <v>279</v>
      </c>
      <c r="B18" s="65" t="n">
        <f aca="false">Calculator!B51</f>
        <v>0.01</v>
      </c>
    </row>
    <row r="19" customFormat="false" ht="15" hidden="false" customHeight="false" outlineLevel="0" collapsed="false">
      <c r="A19" s="4" t="s">
        <v>281</v>
      </c>
      <c r="B19" s="65" t="n">
        <f aca="false">Calculator!B52</f>
        <v>0.85</v>
      </c>
    </row>
    <row r="20" customFormat="false" ht="15" hidden="false" customHeight="false" outlineLevel="0" collapsed="false">
      <c r="A20" s="4" t="s">
        <v>573</v>
      </c>
      <c r="B20" s="69" t="n">
        <f aca="false">Expenses!C22+Calculator!B56</f>
        <v>5393.98333333333</v>
      </c>
    </row>
    <row r="21" customFormat="false" ht="15" hidden="false" customHeight="false" outlineLevel="0" collapsed="false">
      <c r="A21" s="4" t="s">
        <v>574</v>
      </c>
      <c r="B21" s="37" t="n">
        <v>0.02</v>
      </c>
    </row>
    <row r="23" customFormat="false" ht="15" hidden="false" customHeight="false" outlineLevel="0" collapsed="false">
      <c r="A23" s="8" t="s">
        <v>575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customFormat="false" ht="15" hidden="false" customHeight="false" outlineLevel="0" collapsed="false">
      <c r="A24" s="5" t="s">
        <v>576</v>
      </c>
      <c r="B24" s="5"/>
      <c r="C24" s="32" t="s">
        <v>577</v>
      </c>
      <c r="D24" s="32" t="s">
        <v>578</v>
      </c>
      <c r="E24" s="32" t="s">
        <v>579</v>
      </c>
      <c r="F24" s="32" t="s">
        <v>580</v>
      </c>
      <c r="G24" s="32" t="s">
        <v>581</v>
      </c>
      <c r="H24" s="32" t="s">
        <v>582</v>
      </c>
      <c r="I24" s="32" t="s">
        <v>583</v>
      </c>
      <c r="J24" s="32" t="s">
        <v>584</v>
      </c>
      <c r="K24" s="32" t="s">
        <v>585</v>
      </c>
      <c r="L24" s="32" t="s">
        <v>586</v>
      </c>
      <c r="M24" s="32" t="s">
        <v>587</v>
      </c>
      <c r="N24" s="32" t="s">
        <v>588</v>
      </c>
      <c r="O24" s="32" t="s">
        <v>589</v>
      </c>
      <c r="P24" s="32" t="s">
        <v>590</v>
      </c>
      <c r="Q24" s="32" t="s">
        <v>591</v>
      </c>
      <c r="R24" s="32" t="s">
        <v>592</v>
      </c>
      <c r="S24" s="32" t="s">
        <v>593</v>
      </c>
      <c r="T24" s="32" t="s">
        <v>594</v>
      </c>
      <c r="U24" s="32" t="s">
        <v>595</v>
      </c>
      <c r="V24" s="32" t="s">
        <v>596</v>
      </c>
      <c r="W24" s="32" t="s">
        <v>597</v>
      </c>
      <c r="X24" s="32" t="s">
        <v>598</v>
      </c>
      <c r="Y24" s="32" t="s">
        <v>599</v>
      </c>
      <c r="Z24" s="32" t="s">
        <v>600</v>
      </c>
    </row>
    <row r="25" customFormat="false" ht="15" hidden="false" customHeight="false" outlineLevel="0" collapsed="false">
      <c r="A25" s="34" t="s">
        <v>601</v>
      </c>
      <c r="C25" s="14" t="n">
        <f aca="false">$B$7</f>
        <v>41</v>
      </c>
      <c r="D25" s="14" t="n">
        <f aca="false">C25*(1+$B$8)</f>
        <v>47.15</v>
      </c>
      <c r="E25" s="14" t="n">
        <f aca="false">D25*(1+$B$8)</f>
        <v>54.2225</v>
      </c>
      <c r="F25" s="14" t="n">
        <f aca="false">E25*(1+$B$8)</f>
        <v>62.355875</v>
      </c>
      <c r="G25" s="14" t="n">
        <f aca="false">F25*(1+$B$8)</f>
        <v>71.70925625</v>
      </c>
      <c r="H25" s="14" t="n">
        <f aca="false">G25*(1+$B$8)</f>
        <v>82.4656446875</v>
      </c>
      <c r="I25" s="14" t="n">
        <f aca="false">H25*(1+$B$8)</f>
        <v>94.835491390625</v>
      </c>
      <c r="J25" s="14" t="n">
        <f aca="false">I25*(1+$B$8)</f>
        <v>109.060815099219</v>
      </c>
      <c r="K25" s="14" t="n">
        <f aca="false">J25*(1+$B$8)</f>
        <v>125.419937364102</v>
      </c>
      <c r="L25" s="14" t="n">
        <f aca="false">K25*(1+$B$8)</f>
        <v>144.232927968717</v>
      </c>
      <c r="M25" s="14" t="n">
        <f aca="false">L25*(1+$B$8)</f>
        <v>165.867867164024</v>
      </c>
      <c r="N25" s="14" t="n">
        <f aca="false">M25*(1+$B$8)</f>
        <v>190.748047238628</v>
      </c>
      <c r="O25" s="14" t="n">
        <f aca="false">N25*(1+$B$8)</f>
        <v>219.360254324422</v>
      </c>
      <c r="P25" s="14" t="n">
        <f aca="false">O25*(1+$B$8)</f>
        <v>252.264292473085</v>
      </c>
      <c r="Q25" s="14" t="n">
        <f aca="false">P25*(1+$B$8)</f>
        <v>290.103936344048</v>
      </c>
      <c r="R25" s="14" t="n">
        <f aca="false">Q25*(1+$B$8)</f>
        <v>333.619526795655</v>
      </c>
      <c r="S25" s="14" t="n">
        <f aca="false">R25*(1+$B$8)</f>
        <v>383.662455815004</v>
      </c>
      <c r="T25" s="14" t="n">
        <f aca="false">S25*(1+$B$8)</f>
        <v>441.211824187254</v>
      </c>
      <c r="U25" s="14" t="n">
        <f aca="false">T25*(1+$B$8)</f>
        <v>507.393597815342</v>
      </c>
      <c r="V25" s="14" t="n">
        <f aca="false">U25*(1+$B$8)</f>
        <v>583.502637487643</v>
      </c>
      <c r="W25" s="14" t="n">
        <f aca="false">V25*(1+$B$8)</f>
        <v>671.02803311079</v>
      </c>
      <c r="X25" s="14" t="n">
        <f aca="false">W25*(1+$B$8)</f>
        <v>771.682238077408</v>
      </c>
      <c r="Y25" s="14" t="n">
        <f aca="false">X25*(1+$B$8)</f>
        <v>887.434573789019</v>
      </c>
      <c r="Z25" s="14" t="n">
        <f aca="false">Y25*(1+$B$8)</f>
        <v>1020.54975985737</v>
      </c>
    </row>
    <row r="26" customFormat="false" ht="15" hidden="false" customHeight="false" outlineLevel="0" collapsed="false">
      <c r="A26" s="34" t="s">
        <v>402</v>
      </c>
      <c r="C26" s="40" t="n">
        <f aca="false">C25*$B$9</f>
        <v>1.025</v>
      </c>
      <c r="D26" s="40" t="n">
        <f aca="false">D25*$B$9</f>
        <v>1.17875</v>
      </c>
      <c r="E26" s="40" t="n">
        <f aca="false">E25*$B$9</f>
        <v>1.3555625</v>
      </c>
      <c r="F26" s="40" t="n">
        <f aca="false">F25*$B$9</f>
        <v>1.558896875</v>
      </c>
      <c r="G26" s="40" t="n">
        <f aca="false">G25*$B$9</f>
        <v>1.79273140625</v>
      </c>
      <c r="H26" s="40" t="n">
        <f aca="false">H25*$B$9</f>
        <v>2.0616411171875</v>
      </c>
      <c r="I26" s="40" t="n">
        <f aca="false">I25*$B$9</f>
        <v>2.37088728476562</v>
      </c>
      <c r="J26" s="40" t="n">
        <f aca="false">J25*$B$9</f>
        <v>2.72652037748047</v>
      </c>
      <c r="K26" s="40" t="n">
        <f aca="false">K25*$B$9</f>
        <v>3.13549843410254</v>
      </c>
      <c r="L26" s="40" t="n">
        <f aca="false">L25*$B$9</f>
        <v>3.60582319921792</v>
      </c>
      <c r="M26" s="40" t="n">
        <f aca="false">M25*$B$9</f>
        <v>4.14669667910061</v>
      </c>
      <c r="N26" s="40" t="n">
        <f aca="false">N25*$B$9</f>
        <v>4.7687011809657</v>
      </c>
      <c r="O26" s="40" t="n">
        <f aca="false">O25*$B$9</f>
        <v>5.48400635811055</v>
      </c>
      <c r="P26" s="40" t="n">
        <f aca="false">P25*$B$9</f>
        <v>6.30660731182713</v>
      </c>
      <c r="Q26" s="40" t="n">
        <f aca="false">Q25*$B$9</f>
        <v>7.2525984086012</v>
      </c>
      <c r="R26" s="40" t="n">
        <f aca="false">R25*$B$9</f>
        <v>8.34048816989138</v>
      </c>
      <c r="S26" s="40" t="n">
        <f aca="false">S25*$B$9</f>
        <v>9.59156139537509</v>
      </c>
      <c r="T26" s="40" t="n">
        <f aca="false">T25*$B$9</f>
        <v>11.0302956046814</v>
      </c>
      <c r="U26" s="40" t="n">
        <f aca="false">U25*$B$9</f>
        <v>12.6848399453836</v>
      </c>
      <c r="V26" s="40" t="n">
        <f aca="false">V25*$B$9</f>
        <v>14.5875659371911</v>
      </c>
      <c r="W26" s="40" t="n">
        <f aca="false">W25*$B$9</f>
        <v>16.7757008277697</v>
      </c>
      <c r="X26" s="40" t="n">
        <f aca="false">X25*$B$9</f>
        <v>19.2920559519352</v>
      </c>
      <c r="Y26" s="40" t="n">
        <f aca="false">Y25*$B$9</f>
        <v>22.1858643447255</v>
      </c>
      <c r="Z26" s="40" t="n">
        <f aca="false">Z25*$B$9</f>
        <v>25.5137439964343</v>
      </c>
    </row>
    <row r="27" customFormat="false" ht="15" hidden="false" customHeight="false" outlineLevel="0" collapsed="false">
      <c r="A27" s="34" t="s">
        <v>602</v>
      </c>
      <c r="C27" s="40" t="n">
        <f aca="false">C26*$B$10</f>
        <v>0.7175</v>
      </c>
      <c r="D27" s="40" t="n">
        <f aca="false">D26*$B$10</f>
        <v>0.825125</v>
      </c>
      <c r="E27" s="40" t="n">
        <f aca="false">E26*$B$10</f>
        <v>0.94889375</v>
      </c>
      <c r="F27" s="40" t="n">
        <f aca="false">F26*$B$10</f>
        <v>1.0912278125</v>
      </c>
      <c r="G27" s="40" t="n">
        <f aca="false">G26*$B$10</f>
        <v>1.254911984375</v>
      </c>
      <c r="H27" s="40" t="n">
        <f aca="false">H26*$B$10</f>
        <v>1.44314878203125</v>
      </c>
      <c r="I27" s="40" t="n">
        <f aca="false">I26*$B$10</f>
        <v>1.65962109933594</v>
      </c>
      <c r="J27" s="40" t="n">
        <f aca="false">J26*$B$10</f>
        <v>1.90856426423633</v>
      </c>
      <c r="K27" s="40" t="n">
        <f aca="false">K26*$B$10</f>
        <v>2.19484890387178</v>
      </c>
      <c r="L27" s="40" t="n">
        <f aca="false">L26*$B$10</f>
        <v>2.52407623945254</v>
      </c>
      <c r="M27" s="40" t="n">
        <f aca="false">M26*$B$10</f>
        <v>2.90268767537042</v>
      </c>
      <c r="N27" s="40" t="n">
        <f aca="false">N26*$B$10</f>
        <v>3.33809082667599</v>
      </c>
      <c r="O27" s="40" t="n">
        <f aca="false">O26*$B$10</f>
        <v>3.83880445067739</v>
      </c>
      <c r="P27" s="40" t="n">
        <f aca="false">P26*$B$10</f>
        <v>4.41462511827899</v>
      </c>
      <c r="Q27" s="40" t="n">
        <f aca="false">Q26*$B$10</f>
        <v>5.07681888602084</v>
      </c>
      <c r="R27" s="40" t="n">
        <f aca="false">R26*$B$10</f>
        <v>5.83834171892397</v>
      </c>
      <c r="S27" s="40" t="n">
        <f aca="false">S26*$B$10</f>
        <v>6.71409297676256</v>
      </c>
      <c r="T27" s="40" t="n">
        <f aca="false">T26*$B$10</f>
        <v>7.72120692327695</v>
      </c>
      <c r="U27" s="40" t="n">
        <f aca="false">U26*$B$10</f>
        <v>8.87938796176849</v>
      </c>
      <c r="V27" s="40" t="n">
        <f aca="false">V26*$B$10</f>
        <v>10.2112961560338</v>
      </c>
      <c r="W27" s="40" t="n">
        <f aca="false">W26*$B$10</f>
        <v>11.7429905794388</v>
      </c>
      <c r="X27" s="40" t="n">
        <f aca="false">X26*$B$10</f>
        <v>13.5044391663546</v>
      </c>
      <c r="Y27" s="40" t="n">
        <f aca="false">Y26*$B$10</f>
        <v>15.5301050413078</v>
      </c>
      <c r="Z27" s="40" t="n">
        <f aca="false">Z26*$B$10</f>
        <v>17.859620797504</v>
      </c>
    </row>
    <row r="28" customFormat="false" ht="15" hidden="false" customHeight="false" outlineLevel="0" collapsed="false">
      <c r="A28" s="34" t="s">
        <v>603</v>
      </c>
      <c r="C28" s="40" t="n">
        <f aca="false">C27*$B$11</f>
        <v>0.0861</v>
      </c>
      <c r="D28" s="40" t="n">
        <f aca="false">D27*$B$11</f>
        <v>0.099015</v>
      </c>
      <c r="E28" s="40" t="n">
        <f aca="false">E27*$B$11</f>
        <v>0.11386725</v>
      </c>
      <c r="F28" s="40" t="n">
        <f aca="false">F27*$B$11</f>
        <v>0.1309473375</v>
      </c>
      <c r="G28" s="40" t="n">
        <f aca="false">G27*$B$11</f>
        <v>0.150589438125</v>
      </c>
      <c r="H28" s="40" t="n">
        <f aca="false">H27*$B$11</f>
        <v>0.17317785384375</v>
      </c>
      <c r="I28" s="40" t="n">
        <f aca="false">I27*$B$11</f>
        <v>0.199154531920312</v>
      </c>
      <c r="J28" s="40" t="n">
        <f aca="false">J27*$B$11</f>
        <v>0.229027711708359</v>
      </c>
      <c r="K28" s="40" t="n">
        <f aca="false">K27*$B$11</f>
        <v>0.263381868464613</v>
      </c>
      <c r="L28" s="40" t="n">
        <f aca="false">L27*$B$11</f>
        <v>0.302889148734305</v>
      </c>
      <c r="M28" s="40" t="n">
        <f aca="false">M27*$B$11</f>
        <v>0.348322521044451</v>
      </c>
      <c r="N28" s="40" t="n">
        <f aca="false">N27*$B$11</f>
        <v>0.400570899201118</v>
      </c>
      <c r="O28" s="40" t="n">
        <f aca="false">O27*$B$11</f>
        <v>0.460656534081286</v>
      </c>
      <c r="P28" s="40" t="n">
        <f aca="false">P27*$B$11</f>
        <v>0.529755014193479</v>
      </c>
      <c r="Q28" s="40" t="n">
        <f aca="false">Q27*$B$11</f>
        <v>0.609218266322501</v>
      </c>
      <c r="R28" s="40" t="n">
        <f aca="false">R27*$B$11</f>
        <v>0.700601006270876</v>
      </c>
      <c r="S28" s="40" t="n">
        <f aca="false">S27*$B$11</f>
        <v>0.805691157211507</v>
      </c>
      <c r="T28" s="40" t="n">
        <f aca="false">T27*$B$11</f>
        <v>0.926544830793233</v>
      </c>
      <c r="U28" s="40" t="n">
        <f aca="false">U27*$B$11</f>
        <v>1.06552655541222</v>
      </c>
      <c r="V28" s="40" t="n">
        <f aca="false">V27*$B$11</f>
        <v>1.22535553872405</v>
      </c>
      <c r="W28" s="40" t="n">
        <f aca="false">W27*$B$11</f>
        <v>1.40915886953266</v>
      </c>
      <c r="X28" s="40" t="n">
        <f aca="false">X27*$B$11</f>
        <v>1.62053269996256</v>
      </c>
      <c r="Y28" s="40" t="n">
        <f aca="false">Y27*$B$11</f>
        <v>1.86361260495694</v>
      </c>
      <c r="Z28" s="40" t="n">
        <f aca="false">Z27*$B$11</f>
        <v>2.14315449570048</v>
      </c>
    </row>
    <row r="29" customFormat="false" ht="15" hidden="false" customHeight="false" outlineLevel="0" collapsed="false">
      <c r="A29" s="34" t="s">
        <v>450</v>
      </c>
      <c r="C29" s="14" t="n">
        <f aca="false">$B$12</f>
        <v>3960</v>
      </c>
      <c r="D29" s="14" t="n">
        <f aca="false">C29*(1+$B$13)</f>
        <v>4158</v>
      </c>
      <c r="E29" s="14" t="n">
        <f aca="false">D29*(1+$B$13)</f>
        <v>4365.9</v>
      </c>
      <c r="F29" s="14" t="n">
        <f aca="false">E29*(1+$B$13)</f>
        <v>4584.195</v>
      </c>
      <c r="G29" s="14" t="n">
        <f aca="false">F29*(1+$B$13)</f>
        <v>4813.40475</v>
      </c>
      <c r="H29" s="14" t="n">
        <f aca="false">G29*(1+$B$13)</f>
        <v>5054.0749875</v>
      </c>
      <c r="I29" s="14" t="n">
        <f aca="false">H29*(1+$B$13)</f>
        <v>5306.778736875</v>
      </c>
      <c r="J29" s="14" t="n">
        <f aca="false">I29*(1+$B$13)</f>
        <v>5572.11767371875</v>
      </c>
      <c r="K29" s="14" t="n">
        <f aca="false">J29*(1+$B$13)</f>
        <v>5850.72355740469</v>
      </c>
      <c r="L29" s="14" t="n">
        <f aca="false">K29*(1+$B$13)</f>
        <v>6143.25973527492</v>
      </c>
      <c r="M29" s="14" t="n">
        <f aca="false">L29*(1+$B$13)</f>
        <v>6450.42272203867</v>
      </c>
      <c r="N29" s="14" t="n">
        <f aca="false">M29*(1+$B$13)</f>
        <v>6772.9438581406</v>
      </c>
      <c r="O29" s="14" t="n">
        <f aca="false">N29*(1+$B$13)</f>
        <v>7111.59105104763</v>
      </c>
      <c r="P29" s="14" t="n">
        <f aca="false">O29*(1+$B$13)</f>
        <v>7467.17060360002</v>
      </c>
      <c r="Q29" s="14" t="n">
        <f aca="false">P29*(1+$B$13)</f>
        <v>7840.52913378002</v>
      </c>
      <c r="R29" s="14" t="n">
        <f aca="false">Q29*(1+$B$13)</f>
        <v>8232.55559046902</v>
      </c>
      <c r="S29" s="14" t="n">
        <f aca="false">R29*(1+$B$13)</f>
        <v>8644.18336999247</v>
      </c>
      <c r="T29" s="14" t="n">
        <f aca="false">S29*(1+$B$13)</f>
        <v>9076.39253849209</v>
      </c>
      <c r="U29" s="14" t="n">
        <f aca="false">T29*(1+$B$13)</f>
        <v>9530.2121654167</v>
      </c>
      <c r="V29" s="14" t="n">
        <f aca="false">U29*(1+$B$13)</f>
        <v>10006.7227736875</v>
      </c>
      <c r="W29" s="14" t="n">
        <f aca="false">V29*(1+$B$13)</f>
        <v>10507.0589123719</v>
      </c>
      <c r="X29" s="14" t="n">
        <f aca="false">W29*(1+$B$13)</f>
        <v>11032.4118579905</v>
      </c>
      <c r="Y29" s="14" t="n">
        <f aca="false">X29*(1+$B$13)</f>
        <v>11584.03245089</v>
      </c>
      <c r="Z29" s="14" t="n">
        <f aca="false">Y29*(1+$B$13)</f>
        <v>12163.2340734345</v>
      </c>
    </row>
    <row r="30" customFormat="false" ht="15" hidden="false" customHeight="false" outlineLevel="0" collapsed="false">
      <c r="A30" s="34" t="s">
        <v>604</v>
      </c>
      <c r="C30" s="40" t="n">
        <f aca="false">C29*$B$14</f>
        <v>3.5661369744</v>
      </c>
      <c r="D30" s="40" t="n">
        <f aca="false">D29*$B$14</f>
        <v>3.74444382312</v>
      </c>
      <c r="E30" s="40" t="n">
        <f aca="false">E29*$B$14</f>
        <v>3.931666014276</v>
      </c>
      <c r="F30" s="40" t="n">
        <f aca="false">F29*$B$14</f>
        <v>4.1282493149898</v>
      </c>
      <c r="G30" s="40" t="n">
        <f aca="false">G29*$B$14</f>
        <v>4.33466178073929</v>
      </c>
      <c r="H30" s="40" t="n">
        <f aca="false">H29*$B$14</f>
        <v>4.55139486977626</v>
      </c>
      <c r="I30" s="40" t="n">
        <f aca="false">I29*$B$14</f>
        <v>4.77896461326507</v>
      </c>
      <c r="J30" s="40" t="n">
        <f aca="false">J29*$B$14</f>
        <v>5.01791284392832</v>
      </c>
      <c r="K30" s="40" t="n">
        <f aca="false">K29*$B$14</f>
        <v>5.26880848612474</v>
      </c>
      <c r="L30" s="40" t="n">
        <f aca="false">L29*$B$14</f>
        <v>5.53224891043098</v>
      </c>
      <c r="M30" s="40" t="n">
        <f aca="false">M29*$B$14</f>
        <v>5.80886135595253</v>
      </c>
      <c r="N30" s="40" t="n">
        <f aca="false">N29*$B$14</f>
        <v>6.09930442375015</v>
      </c>
      <c r="O30" s="40" t="n">
        <f aca="false">O29*$B$14</f>
        <v>6.40426964493766</v>
      </c>
      <c r="P30" s="40" t="n">
        <f aca="false">P29*$B$14</f>
        <v>6.72448312718454</v>
      </c>
      <c r="Q30" s="40" t="n">
        <f aca="false">Q29*$B$14</f>
        <v>7.06070728354377</v>
      </c>
      <c r="R30" s="40" t="n">
        <f aca="false">R29*$B$14</f>
        <v>7.41374264772096</v>
      </c>
      <c r="S30" s="40" t="n">
        <f aca="false">S29*$B$14</f>
        <v>7.78442978010701</v>
      </c>
      <c r="T30" s="40" t="n">
        <f aca="false">T29*$B$14</f>
        <v>8.17365126911236</v>
      </c>
      <c r="U30" s="40" t="n">
        <f aca="false">U29*$B$14</f>
        <v>8.58233383256797</v>
      </c>
      <c r="V30" s="40" t="n">
        <f aca="false">V29*$B$14</f>
        <v>9.01145052419637</v>
      </c>
      <c r="W30" s="40" t="n">
        <f aca="false">W29*$B$14</f>
        <v>9.46202305040619</v>
      </c>
      <c r="X30" s="40" t="n">
        <f aca="false">X29*$B$14</f>
        <v>9.9351242029265</v>
      </c>
      <c r="Y30" s="40" t="n">
        <f aca="false">Y29*$B$14</f>
        <v>10.4318804130728</v>
      </c>
      <c r="Z30" s="40" t="n">
        <f aca="false">Z29*$B$14</f>
        <v>10.9534744337265</v>
      </c>
    </row>
    <row r="31" customFormat="false" ht="15" hidden="false" customHeight="false" outlineLevel="0" collapsed="false">
      <c r="A31" s="34" t="s">
        <v>605</v>
      </c>
      <c r="C31" s="40" t="n">
        <f aca="false">$B$15</f>
        <v>0.5</v>
      </c>
      <c r="D31" s="40" t="n">
        <f aca="false">$B$15</f>
        <v>0.5</v>
      </c>
      <c r="E31" s="40" t="n">
        <f aca="false">$B$15</f>
        <v>0.5</v>
      </c>
      <c r="F31" s="40" t="n">
        <f aca="false">$B$15</f>
        <v>0.5</v>
      </c>
      <c r="G31" s="40" t="n">
        <f aca="false">$B$15</f>
        <v>0.5</v>
      </c>
      <c r="H31" s="40" t="n">
        <f aca="false">$B$15</f>
        <v>0.5</v>
      </c>
      <c r="I31" s="40" t="n">
        <f aca="false">$B$15</f>
        <v>0.5</v>
      </c>
      <c r="J31" s="40" t="n">
        <f aca="false">$B$15</f>
        <v>0.5</v>
      </c>
      <c r="K31" s="40" t="n">
        <f aca="false">$B$15</f>
        <v>0.5</v>
      </c>
      <c r="L31" s="40" t="n">
        <f aca="false">$B$15</f>
        <v>0.5</v>
      </c>
      <c r="M31" s="40" t="n">
        <f aca="false">$B$15</f>
        <v>0.5</v>
      </c>
      <c r="N31" s="40" t="n">
        <f aca="false">$B$15</f>
        <v>0.5</v>
      </c>
      <c r="O31" s="40" t="n">
        <f aca="false">$B$15</f>
        <v>0.5</v>
      </c>
      <c r="P31" s="40" t="n">
        <f aca="false">$B$15</f>
        <v>0.5</v>
      </c>
      <c r="Q31" s="40" t="n">
        <f aca="false">$B$15</f>
        <v>0.5</v>
      </c>
      <c r="R31" s="40" t="n">
        <f aca="false">$B$15</f>
        <v>0.5</v>
      </c>
      <c r="S31" s="40" t="n">
        <f aca="false">$B$15</f>
        <v>0.5</v>
      </c>
      <c r="T31" s="40" t="n">
        <f aca="false">$B$15</f>
        <v>0.5</v>
      </c>
      <c r="U31" s="40" t="n">
        <f aca="false">$B$15</f>
        <v>0.5</v>
      </c>
      <c r="V31" s="40" t="n">
        <f aca="false">$B$15</f>
        <v>0.5</v>
      </c>
      <c r="W31" s="40" t="n">
        <f aca="false">$B$15</f>
        <v>0.5</v>
      </c>
      <c r="X31" s="40" t="n">
        <f aca="false">$B$15</f>
        <v>0.5</v>
      </c>
      <c r="Y31" s="40" t="n">
        <f aca="false">$B$15</f>
        <v>0.5</v>
      </c>
      <c r="Z31" s="40" t="n">
        <f aca="false">$B$15</f>
        <v>0.5</v>
      </c>
    </row>
    <row r="32" customFormat="false" ht="15" hidden="false" customHeight="false" outlineLevel="0" collapsed="false">
      <c r="A32" s="5" t="s">
        <v>606</v>
      </c>
      <c r="C32" s="40" t="n">
        <f aca="false">C28+C30+C31</f>
        <v>4.1522369744</v>
      </c>
      <c r="D32" s="40" t="n">
        <f aca="false">D28+D30+D31</f>
        <v>4.34345882312</v>
      </c>
      <c r="E32" s="40" t="n">
        <f aca="false">E28+E30+E31</f>
        <v>4.545533264276</v>
      </c>
      <c r="F32" s="40" t="n">
        <f aca="false">F28+F30+F31</f>
        <v>4.7591966524898</v>
      </c>
      <c r="G32" s="40" t="n">
        <f aca="false">G28+G30+G31</f>
        <v>4.98525121886429</v>
      </c>
      <c r="H32" s="40" t="n">
        <f aca="false">H28+H30+H31</f>
        <v>5.22457272362001</v>
      </c>
      <c r="I32" s="40" t="n">
        <f aca="false">I28+I30+I31</f>
        <v>5.47811914518538</v>
      </c>
      <c r="J32" s="40" t="n">
        <f aca="false">J28+J30+J31</f>
        <v>5.74694055563668</v>
      </c>
      <c r="K32" s="40" t="n">
        <f aca="false">K28+K30+K31</f>
        <v>6.03219035458935</v>
      </c>
      <c r="L32" s="40" t="n">
        <f aca="false">L28+L30+L31</f>
        <v>6.33513805916528</v>
      </c>
      <c r="M32" s="40" t="n">
        <f aca="false">M28+M30+M31</f>
        <v>6.65718387699698</v>
      </c>
      <c r="N32" s="40" t="n">
        <f aca="false">N28+N30+N31</f>
        <v>6.99987532295127</v>
      </c>
      <c r="O32" s="40" t="n">
        <f aca="false">O28+O30+O31</f>
        <v>7.36492617901894</v>
      </c>
      <c r="P32" s="40" t="n">
        <f aca="false">P28+P30+P31</f>
        <v>7.75423814137802</v>
      </c>
      <c r="Q32" s="40" t="n">
        <f aca="false">Q28+Q30+Q31</f>
        <v>8.16992554986627</v>
      </c>
      <c r="R32" s="40" t="n">
        <f aca="false">R28+R30+R31</f>
        <v>8.61434365399184</v>
      </c>
      <c r="S32" s="40" t="n">
        <f aca="false">S28+S30+S31</f>
        <v>9.09012093731851</v>
      </c>
      <c r="T32" s="40" t="n">
        <f aca="false">T28+T30+T31</f>
        <v>9.60019609990559</v>
      </c>
      <c r="U32" s="40" t="n">
        <f aca="false">U28+U30+U31</f>
        <v>10.1478603879802</v>
      </c>
      <c r="V32" s="40" t="n">
        <f aca="false">V28+V30+V31</f>
        <v>10.7368060629204</v>
      </c>
      <c r="W32" s="40" t="n">
        <f aca="false">W28+W30+W31</f>
        <v>11.3711819199389</v>
      </c>
      <c r="X32" s="40" t="n">
        <f aca="false">X28+X30+X31</f>
        <v>12.0556569028891</v>
      </c>
      <c r="Y32" s="40" t="n">
        <f aca="false">Y28+Y30+Y31</f>
        <v>12.7954930180298</v>
      </c>
      <c r="Z32" s="40" t="n">
        <f aca="false">Z28+Z30+Z31</f>
        <v>13.596628929427</v>
      </c>
    </row>
    <row r="34" customFormat="false" ht="15" hidden="false" customHeight="false" outlineLevel="0" collapsed="false">
      <c r="A34" s="34" t="s">
        <v>607</v>
      </c>
      <c r="C34" s="40" t="n">
        <f aca="false">0</f>
        <v>0</v>
      </c>
      <c r="D34" s="40" t="n">
        <f aca="false">C36</f>
        <v>4.1522369744</v>
      </c>
      <c r="E34" s="40" t="n">
        <f aca="false">D36</f>
        <v>8.2880839488</v>
      </c>
      <c r="F34" s="40" t="n">
        <f aca="false">E36</f>
        <v>12.419213015636</v>
      </c>
      <c r="G34" s="40" t="n">
        <f aca="false">F36</f>
        <v>16.557449017344</v>
      </c>
      <c r="H34" s="40" t="n">
        <f aca="false">G36</f>
        <v>20.7148277853411</v>
      </c>
      <c r="I34" s="40" t="n">
        <f aca="false">H36</f>
        <v>24.903659119694</v>
      </c>
      <c r="J34" s="40" t="n">
        <f aca="false">I36</f>
        <v>29.1365953088947</v>
      </c>
      <c r="K34" s="40" t="n">
        <f aca="false">J36</f>
        <v>33.4267060990867</v>
      </c>
      <c r="L34" s="40" t="n">
        <f aca="false">K36</f>
        <v>37.7875611487217</v>
      </c>
      <c r="M34" s="40" t="n">
        <f aca="false">L36</f>
        <v>42.2333211504509</v>
      </c>
      <c r="N34" s="40" t="n">
        <f aca="false">M36</f>
        <v>46.7788389699253</v>
      </c>
      <c r="O34" s="40" t="n">
        <f aca="false">N36</f>
        <v>51.4397723443803</v>
      </c>
      <c r="P34" s="40" t="n">
        <f aca="false">O36</f>
        <v>56.2327099061803</v>
      </c>
      <c r="Q34" s="40" t="n">
        <f aca="false">P36</f>
        <v>61.1753125522493</v>
      </c>
      <c r="R34" s="40" t="n">
        <f aca="false">Q36</f>
        <v>66.2864724745031</v>
      </c>
      <c r="S34" s="40" t="n">
        <f aca="false">R36</f>
        <v>71.5864925047698</v>
      </c>
      <c r="T34" s="40" t="n">
        <f aca="false">S36</f>
        <v>77.0972888168498</v>
      </c>
      <c r="U34" s="40" t="n">
        <f aca="false">T36</f>
        <v>82.8426204759129</v>
      </c>
      <c r="V34" s="40" t="n">
        <f aca="false">U36</f>
        <v>88.8483498400974</v>
      </c>
      <c r="W34" s="40" t="n">
        <f aca="false">V36</f>
        <v>95.142738411013</v>
      </c>
      <c r="X34" s="40" t="n">
        <f aca="false">W36</f>
        <v>101.756783410401</v>
      </c>
      <c r="Y34" s="40" t="n">
        <f aca="false">X36</f>
        <v>108.72460114277</v>
      </c>
      <c r="Z34" s="40" t="n">
        <f aca="false">Y36</f>
        <v>116.083864103661</v>
      </c>
    </row>
    <row r="35" customFormat="false" ht="15" hidden="false" customHeight="false" outlineLevel="0" collapsed="false">
      <c r="A35" s="34" t="s">
        <v>347</v>
      </c>
      <c r="C35" s="40" t="n">
        <f aca="false">C34*$B$17</f>
        <v>0</v>
      </c>
      <c r="D35" s="40" t="n">
        <f aca="false">D34*$B$17</f>
        <v>0.20761184872</v>
      </c>
      <c r="E35" s="40" t="n">
        <f aca="false">E34*$B$17</f>
        <v>0.41440419744</v>
      </c>
      <c r="F35" s="40" t="n">
        <f aca="false">F34*$B$17</f>
        <v>0.6209606507818</v>
      </c>
      <c r="G35" s="40" t="n">
        <f aca="false">G34*$B$17</f>
        <v>0.8278724508672</v>
      </c>
      <c r="H35" s="40" t="n">
        <f aca="false">H34*$B$17</f>
        <v>1.03574138926705</v>
      </c>
      <c r="I35" s="40" t="n">
        <f aca="false">I34*$B$17</f>
        <v>1.2451829559847</v>
      </c>
      <c r="J35" s="40" t="n">
        <f aca="false">J34*$B$17</f>
        <v>1.45682976544474</v>
      </c>
      <c r="K35" s="40" t="n">
        <f aca="false">K34*$B$17</f>
        <v>1.67133530495433</v>
      </c>
      <c r="L35" s="40" t="n">
        <f aca="false">L34*$B$17</f>
        <v>1.88937805743608</v>
      </c>
      <c r="M35" s="40" t="n">
        <f aca="false">M34*$B$17</f>
        <v>2.11166605752254</v>
      </c>
      <c r="N35" s="40" t="n">
        <f aca="false">N34*$B$17</f>
        <v>2.33894194849627</v>
      </c>
      <c r="O35" s="40" t="n">
        <f aca="false">O34*$B$17</f>
        <v>2.57198861721902</v>
      </c>
      <c r="P35" s="40" t="n">
        <f aca="false">P34*$B$17</f>
        <v>2.81163549530901</v>
      </c>
      <c r="Q35" s="40" t="n">
        <f aca="false">Q34*$B$17</f>
        <v>3.05876562761246</v>
      </c>
      <c r="R35" s="40" t="n">
        <f aca="false">R34*$B$17</f>
        <v>3.31432362372515</v>
      </c>
      <c r="S35" s="40" t="n">
        <f aca="false">S34*$B$17</f>
        <v>3.57932462523849</v>
      </c>
      <c r="T35" s="40" t="n">
        <f aca="false">T34*$B$17</f>
        <v>3.85486444084249</v>
      </c>
      <c r="U35" s="40" t="n">
        <f aca="false">U34*$B$17</f>
        <v>4.14213102379565</v>
      </c>
      <c r="V35" s="40" t="n">
        <f aca="false">V34*$B$17</f>
        <v>4.44241749200487</v>
      </c>
      <c r="W35" s="40" t="n">
        <f aca="false">W34*$B$17</f>
        <v>4.75713692055065</v>
      </c>
      <c r="X35" s="40" t="n">
        <f aca="false">X34*$B$17</f>
        <v>5.08783917052006</v>
      </c>
      <c r="Y35" s="40" t="n">
        <f aca="false">Y34*$B$17</f>
        <v>5.43623005713851</v>
      </c>
      <c r="Z35" s="40" t="n">
        <f aca="false">Z34*$B$17</f>
        <v>5.80419320518307</v>
      </c>
    </row>
    <row r="36" customFormat="false" ht="15" hidden="false" customHeight="false" outlineLevel="0" collapsed="false">
      <c r="A36" s="5" t="s">
        <v>348</v>
      </c>
      <c r="C36" s="40" t="n">
        <f aca="false">C34+C32-C35</f>
        <v>4.1522369744</v>
      </c>
      <c r="D36" s="40" t="n">
        <f aca="false">D34+D32-D35</f>
        <v>8.2880839488</v>
      </c>
      <c r="E36" s="40" t="n">
        <f aca="false">E34+E32-E35</f>
        <v>12.419213015636</v>
      </c>
      <c r="F36" s="40" t="n">
        <f aca="false">F34+F32-F35</f>
        <v>16.557449017344</v>
      </c>
      <c r="G36" s="40" t="n">
        <f aca="false">G34+G32-G35</f>
        <v>20.7148277853411</v>
      </c>
      <c r="H36" s="40" t="n">
        <f aca="false">H34+H32-H35</f>
        <v>24.903659119694</v>
      </c>
      <c r="I36" s="40" t="n">
        <f aca="false">I34+I32-I35</f>
        <v>29.1365953088947</v>
      </c>
      <c r="J36" s="40" t="n">
        <f aca="false">J34+J32-J35</f>
        <v>33.4267060990867</v>
      </c>
      <c r="K36" s="40" t="n">
        <f aca="false">K34+K32-K35</f>
        <v>37.7875611487217</v>
      </c>
      <c r="L36" s="40" t="n">
        <f aca="false">L34+L32-L35</f>
        <v>42.2333211504509</v>
      </c>
      <c r="M36" s="40" t="n">
        <f aca="false">M34+M32-M35</f>
        <v>46.7788389699253</v>
      </c>
      <c r="N36" s="40" t="n">
        <f aca="false">N34+N32-N35</f>
        <v>51.4397723443803</v>
      </c>
      <c r="O36" s="40" t="n">
        <f aca="false">O34+O32-O35</f>
        <v>56.2327099061803</v>
      </c>
      <c r="P36" s="40" t="n">
        <f aca="false">P34+P32-P35</f>
        <v>61.1753125522493</v>
      </c>
      <c r="Q36" s="40" t="n">
        <f aca="false">Q34+Q32-Q35</f>
        <v>66.2864724745031</v>
      </c>
      <c r="R36" s="40" t="n">
        <f aca="false">R34+R32-R35</f>
        <v>71.5864925047698</v>
      </c>
      <c r="S36" s="40" t="n">
        <f aca="false">S34+S32-S35</f>
        <v>77.0972888168498</v>
      </c>
      <c r="T36" s="40" t="n">
        <f aca="false">T34+T32-T35</f>
        <v>82.8426204759129</v>
      </c>
      <c r="U36" s="40" t="n">
        <f aca="false">U34+U32-U35</f>
        <v>88.8483498400974</v>
      </c>
      <c r="V36" s="40" t="n">
        <f aca="false">V34+V32-V35</f>
        <v>95.142738411013</v>
      </c>
      <c r="W36" s="40" t="n">
        <f aca="false">W34+W32-W35</f>
        <v>101.756783410401</v>
      </c>
      <c r="X36" s="40" t="n">
        <f aca="false">X34+X32-X35</f>
        <v>108.72460114277</v>
      </c>
      <c r="Y36" s="40" t="n">
        <f aca="false">Y34+Y32-Y35</f>
        <v>116.083864103661</v>
      </c>
      <c r="Z36" s="40" t="n">
        <f aca="false">Z34+Z32-Z35</f>
        <v>123.876299827905</v>
      </c>
    </row>
    <row r="38" customFormat="false" ht="15" hidden="false" customHeight="false" outlineLevel="0" collapsed="false">
      <c r="A38" s="34" t="s">
        <v>351</v>
      </c>
      <c r="C38" s="11" t="n">
        <f aca="false">0</f>
        <v>0</v>
      </c>
      <c r="D38" s="11" t="n">
        <f aca="false">C43</f>
        <v>983.381341450008</v>
      </c>
      <c r="E38" s="11" t="n">
        <f aca="false">D43</f>
        <v>1972.71482475152</v>
      </c>
      <c r="F38" s="11" t="n">
        <f aca="false">E43</f>
        <v>2970.33260214649</v>
      </c>
      <c r="G38" s="11" t="n">
        <f aca="false">F43</f>
        <v>3978.6479319041</v>
      </c>
      <c r="H38" s="11" t="n">
        <f aca="false">G43</f>
        <v>5000.16753571864</v>
      </c>
      <c r="I38" s="11" t="n">
        <f aca="false">H43</f>
        <v>6037.50527419845</v>
      </c>
      <c r="J38" s="11" t="n">
        <f aca="false">I43</f>
        <v>7093.39733318731</v>
      </c>
      <c r="K38" s="11" t="n">
        <f aca="false">J43</f>
        <v>8170.7191414502</v>
      </c>
      <c r="L38" s="11" t="n">
        <f aca="false">K43</f>
        <v>9272.50427219319</v>
      </c>
      <c r="M38" s="11" t="n">
        <f aca="false">L43</f>
        <v>10401.9656175923</v>
      </c>
      <c r="N38" s="11" t="n">
        <f aca="false">M43</f>
        <v>11562.5191676904</v>
      </c>
      <c r="O38" s="11" t="n">
        <f aca="false">N43</f>
        <v>12757.8107735054</v>
      </c>
      <c r="P38" s="11" t="n">
        <f aca="false">O43</f>
        <v>13991.7463299167</v>
      </c>
      <c r="Q38" s="11" t="n">
        <f aca="false">P43</f>
        <v>15268.5258779474</v>
      </c>
      <c r="R38" s="11" t="n">
        <f aca="false">Q43</f>
        <v>16592.6821996778</v>
      </c>
      <c r="S38" s="11" t="n">
        <f aca="false">R43</f>
        <v>17969.1245636498</v>
      </c>
      <c r="T38" s="11" t="n">
        <f aca="false">S43</f>
        <v>19403.1883758945</v>
      </c>
      <c r="U38" s="11" t="n">
        <f aca="false">T43</f>
        <v>20900.6916035328</v>
      </c>
      <c r="V38" s="11" t="n">
        <f aca="false">U43</f>
        <v>22467.9989664395</v>
      </c>
      <c r="W38" s="11" t="n">
        <f aca="false">V43</f>
        <v>24112.0950402336</v>
      </c>
      <c r="X38" s="11" t="n">
        <f aca="false">W43</f>
        <v>25840.6675837327</v>
      </c>
      <c r="Y38" s="11" t="n">
        <f aca="false">X43</f>
        <v>27662.2025993113</v>
      </c>
      <c r="Z38" s="11" t="n">
        <f aca="false">Y43</f>
        <v>29586.092859137</v>
      </c>
    </row>
    <row r="39" customFormat="false" ht="15" hidden="false" customHeight="false" outlineLevel="0" collapsed="false">
      <c r="A39" s="34" t="s">
        <v>608</v>
      </c>
      <c r="C39" s="11" t="n">
        <f aca="false">C32*$B$16</f>
        <v>983.381341450008</v>
      </c>
      <c r="D39" s="11" t="n">
        <f aca="false">D32*$B$16</f>
        <v>1028.66873695951</v>
      </c>
      <c r="E39" s="11" t="n">
        <f aca="false">E32*$B$16</f>
        <v>1076.52637038503</v>
      </c>
      <c r="F39" s="11" t="n">
        <f aca="false">F32*$B$16</f>
        <v>1127.12863384347</v>
      </c>
      <c r="G39" s="11" t="n">
        <f aca="false">G32*$B$16</f>
        <v>1180.6655210907</v>
      </c>
      <c r="H39" s="11" t="n">
        <f aca="false">H32*$B$16</f>
        <v>1237.34443990856</v>
      </c>
      <c r="I39" s="11" t="n">
        <f aca="false">I32*$B$16</f>
        <v>1297.3922699568</v>
      </c>
      <c r="J39" s="11" t="n">
        <f aca="false">J32*$B$16</f>
        <v>1361.05770159038</v>
      </c>
      <c r="K39" s="11" t="n">
        <f aca="false">K32*$B$16</f>
        <v>1428.613896401</v>
      </c>
      <c r="L39" s="11" t="n">
        <f aca="false">L32*$B$16</f>
        <v>1500.36151628681</v>
      </c>
      <c r="M39" s="11" t="n">
        <f aca="false">M32*$B$16</f>
        <v>1576.63217480178</v>
      </c>
      <c r="N39" s="11" t="n">
        <f aca="false">N32*$B$16</f>
        <v>1657.7923725226</v>
      </c>
      <c r="O39" s="11" t="n">
        <f aca="false">O32*$B$16</f>
        <v>1744.24798735156</v>
      </c>
      <c r="P39" s="11" t="n">
        <f aca="false">P32*$B$16</f>
        <v>1836.4494012274</v>
      </c>
      <c r="Q39" s="11" t="n">
        <f aca="false">Q32*$B$16</f>
        <v>1934.89735684826</v>
      </c>
      <c r="R39" s="11" t="n">
        <f aca="false">R32*$B$16</f>
        <v>2040.1496519591</v>
      </c>
      <c r="S39" s="11" t="n">
        <f aca="false">S32*$B$16</f>
        <v>2152.82879479074</v>
      </c>
      <c r="T39" s="11" t="n">
        <f aca="false">T32*$B$16</f>
        <v>2273.63076267401</v>
      </c>
      <c r="U39" s="11" t="n">
        <f aca="false">U32*$B$16</f>
        <v>2403.33502704801</v>
      </c>
      <c r="V39" s="11" t="n">
        <f aca="false">V32*$B$16</f>
        <v>2542.81603245175</v>
      </c>
      <c r="W39" s="11" t="n">
        <f aca="false">W32*$B$16</f>
        <v>2693.05634510838</v>
      </c>
      <c r="X39" s="11" t="n">
        <f aca="false">X32*$B$16</f>
        <v>2855.16171892795</v>
      </c>
      <c r="Y39" s="11" t="n">
        <f aca="false">Y32*$B$16</f>
        <v>3030.37836379812</v>
      </c>
      <c r="Z39" s="11" t="n">
        <f aca="false">Z32*$B$16</f>
        <v>3220.11274362537</v>
      </c>
    </row>
    <row r="40" customFormat="false" ht="15" hidden="false" customHeight="false" outlineLevel="0" collapsed="false">
      <c r="A40" s="34" t="s">
        <v>354</v>
      </c>
      <c r="C40" s="11" t="n">
        <f aca="false">C38*$B$18</f>
        <v>0</v>
      </c>
      <c r="D40" s="11" t="n">
        <f aca="false">D38*$B$18</f>
        <v>9.83381341450009</v>
      </c>
      <c r="E40" s="11" t="n">
        <f aca="false">E38*$B$18</f>
        <v>19.7271482475152</v>
      </c>
      <c r="F40" s="11" t="n">
        <f aca="false">F38*$B$18</f>
        <v>29.7033260214649</v>
      </c>
      <c r="G40" s="11" t="n">
        <f aca="false">G38*$B$18</f>
        <v>39.786479319041</v>
      </c>
      <c r="H40" s="11" t="n">
        <f aca="false">H38*$B$18</f>
        <v>50.0016753571864</v>
      </c>
      <c r="I40" s="11" t="n">
        <f aca="false">I38*$B$18</f>
        <v>60.3750527419845</v>
      </c>
      <c r="J40" s="11" t="n">
        <f aca="false">J38*$B$18</f>
        <v>70.9339733318731</v>
      </c>
      <c r="K40" s="11" t="n">
        <f aca="false">K38*$B$18</f>
        <v>81.707191414502</v>
      </c>
      <c r="L40" s="11" t="n">
        <f aca="false">L38*$B$18</f>
        <v>92.7250427219319</v>
      </c>
      <c r="M40" s="11" t="n">
        <f aca="false">M38*$B$18</f>
        <v>104.019656175923</v>
      </c>
      <c r="N40" s="11" t="n">
        <f aca="false">N38*$B$18</f>
        <v>115.625191676904</v>
      </c>
      <c r="O40" s="11" t="n">
        <f aca="false">O38*$B$18</f>
        <v>127.578107735054</v>
      </c>
      <c r="P40" s="11" t="n">
        <f aca="false">P38*$B$18</f>
        <v>139.917463299167</v>
      </c>
      <c r="Q40" s="11" t="n">
        <f aca="false">Q38*$B$18</f>
        <v>152.685258779474</v>
      </c>
      <c r="R40" s="11" t="n">
        <f aca="false">R38*$B$18</f>
        <v>165.926821996778</v>
      </c>
      <c r="S40" s="11" t="n">
        <f aca="false">S38*$B$18</f>
        <v>179.691245636498</v>
      </c>
      <c r="T40" s="11" t="n">
        <f aca="false">T38*$B$18</f>
        <v>194.031883758945</v>
      </c>
      <c r="U40" s="11" t="n">
        <f aca="false">U38*$B$18</f>
        <v>209.006916035328</v>
      </c>
      <c r="V40" s="11" t="n">
        <f aca="false">V38*$B$18</f>
        <v>224.679989664395</v>
      </c>
      <c r="W40" s="11" t="n">
        <f aca="false">W38*$B$18</f>
        <v>241.120950402336</v>
      </c>
      <c r="X40" s="11" t="n">
        <f aca="false">X38*$B$18</f>
        <v>258.406675837327</v>
      </c>
      <c r="Y40" s="11" t="n">
        <f aca="false">Y38*$B$18</f>
        <v>276.622025993113</v>
      </c>
      <c r="Z40" s="11" t="n">
        <f aca="false">Z38*$B$18</f>
        <v>295.86092859137</v>
      </c>
    </row>
    <row r="41" customFormat="false" ht="15" hidden="false" customHeight="false" outlineLevel="0" collapsed="false">
      <c r="A41" s="34" t="s">
        <v>356</v>
      </c>
      <c r="C41" s="11" t="n">
        <f aca="false">C38*$B$17</f>
        <v>0</v>
      </c>
      <c r="D41" s="11" t="n">
        <f aca="false">D38*$B$17</f>
        <v>49.1690670725004</v>
      </c>
      <c r="E41" s="11" t="n">
        <f aca="false">E38*$B$17</f>
        <v>98.6357412375759</v>
      </c>
      <c r="F41" s="11" t="n">
        <f aca="false">F38*$B$17</f>
        <v>148.516630107325</v>
      </c>
      <c r="G41" s="11" t="n">
        <f aca="false">G38*$B$17</f>
        <v>198.932396595205</v>
      </c>
      <c r="H41" s="11" t="n">
        <f aca="false">H38*$B$17</f>
        <v>250.008376785932</v>
      </c>
      <c r="I41" s="11" t="n">
        <f aca="false">I38*$B$17</f>
        <v>301.875263709922</v>
      </c>
      <c r="J41" s="11" t="n">
        <f aca="false">J38*$B$17</f>
        <v>354.669866659366</v>
      </c>
      <c r="K41" s="11" t="n">
        <f aca="false">K38*$B$17</f>
        <v>408.53595707251</v>
      </c>
      <c r="L41" s="11" t="n">
        <f aca="false">L38*$B$17</f>
        <v>463.62521360966</v>
      </c>
      <c r="M41" s="11" t="n">
        <f aca="false">M38*$B$17</f>
        <v>520.098280879614</v>
      </c>
      <c r="N41" s="11" t="n">
        <f aca="false">N38*$B$17</f>
        <v>578.125958384518</v>
      </c>
      <c r="O41" s="11" t="n">
        <f aca="false">O38*$B$17</f>
        <v>637.890538675268</v>
      </c>
      <c r="P41" s="11" t="n">
        <f aca="false">P38*$B$17</f>
        <v>699.587316495835</v>
      </c>
      <c r="Q41" s="11" t="n">
        <f aca="false">Q38*$B$17</f>
        <v>763.426293897372</v>
      </c>
      <c r="R41" s="11" t="n">
        <f aca="false">R38*$B$17</f>
        <v>829.63410998389</v>
      </c>
      <c r="S41" s="11" t="n">
        <f aca="false">S38*$B$17</f>
        <v>898.456228182489</v>
      </c>
      <c r="T41" s="11" t="n">
        <f aca="false">T38*$B$17</f>
        <v>970.159418794726</v>
      </c>
      <c r="U41" s="11" t="n">
        <f aca="false">U38*$B$17</f>
        <v>1045.03458017664</v>
      </c>
      <c r="V41" s="11" t="n">
        <f aca="false">V38*$B$17</f>
        <v>1123.39994832197</v>
      </c>
      <c r="W41" s="11" t="n">
        <f aca="false">W38*$B$17</f>
        <v>1205.60475201168</v>
      </c>
      <c r="X41" s="11" t="n">
        <f aca="false">X38*$B$17</f>
        <v>1292.03337918663</v>
      </c>
      <c r="Y41" s="11" t="n">
        <f aca="false">Y38*$B$17</f>
        <v>1383.11012996557</v>
      </c>
      <c r="Z41" s="11" t="n">
        <f aca="false">Z38*$B$17</f>
        <v>1479.30464295685</v>
      </c>
    </row>
    <row r="42" customFormat="false" ht="15" hidden="false" customHeight="false" outlineLevel="0" collapsed="false">
      <c r="A42" s="34" t="s">
        <v>357</v>
      </c>
      <c r="C42" s="11" t="n">
        <f aca="false">C39+C40-C41</f>
        <v>983.381341450008</v>
      </c>
      <c r="D42" s="11" t="n">
        <f aca="false">D39+D40-D41</f>
        <v>989.333483301509</v>
      </c>
      <c r="E42" s="11" t="n">
        <f aca="false">E39+E40-E41</f>
        <v>997.617777394974</v>
      </c>
      <c r="F42" s="11" t="n">
        <f aca="false">F39+F40-F41</f>
        <v>1008.31532975761</v>
      </c>
      <c r="G42" s="11" t="n">
        <f aca="false">G39+G40-G41</f>
        <v>1021.51960381454</v>
      </c>
      <c r="H42" s="11" t="n">
        <f aca="false">H39+H40-H41</f>
        <v>1037.33773847981</v>
      </c>
      <c r="I42" s="11" t="n">
        <f aca="false">I39+I40-I41</f>
        <v>1055.89205898886</v>
      </c>
      <c r="J42" s="11" t="n">
        <f aca="false">J39+J40-J41</f>
        <v>1077.32180826289</v>
      </c>
      <c r="K42" s="11" t="n">
        <f aca="false">K39+K40-K41</f>
        <v>1101.78513074299</v>
      </c>
      <c r="L42" s="11" t="n">
        <f aca="false">L39+L40-L41</f>
        <v>1129.46134539909</v>
      </c>
      <c r="M42" s="11" t="n">
        <f aca="false">M39+M40-M41</f>
        <v>1160.55355009809</v>
      </c>
      <c r="N42" s="11" t="n">
        <f aca="false">N39+N40-N41</f>
        <v>1195.29160581498</v>
      </c>
      <c r="O42" s="11" t="n">
        <f aca="false">O39+O40-O41</f>
        <v>1233.93555641135</v>
      </c>
      <c r="P42" s="11" t="n">
        <f aca="false">P39+P40-P41</f>
        <v>1276.77954803073</v>
      </c>
      <c r="Q42" s="11" t="n">
        <f aca="false">Q39+Q40-Q41</f>
        <v>1324.15632173037</v>
      </c>
      <c r="R42" s="11" t="n">
        <f aca="false">R39+R40-R41</f>
        <v>1376.44236397199</v>
      </c>
      <c r="S42" s="11" t="n">
        <f aca="false">S39+S40-S41</f>
        <v>1434.06381224475</v>
      </c>
      <c r="T42" s="11" t="n">
        <f aca="false">T39+T40-T41</f>
        <v>1497.50322763823</v>
      </c>
      <c r="U42" s="11" t="n">
        <f aca="false">U39+U40-U41</f>
        <v>1567.3073629067</v>
      </c>
      <c r="V42" s="11" t="n">
        <f aca="false">V39+V40-V41</f>
        <v>1644.09607379417</v>
      </c>
      <c r="W42" s="11" t="n">
        <f aca="false">W39+W40-W41</f>
        <v>1728.57254349904</v>
      </c>
      <c r="X42" s="11" t="n">
        <f aca="false">X39+X40-X41</f>
        <v>1821.53501557864</v>
      </c>
      <c r="Y42" s="11" t="n">
        <f aca="false">Y39+Y40-Y41</f>
        <v>1923.89025982567</v>
      </c>
      <c r="Z42" s="11" t="n">
        <f aca="false">Z39+Z40-Z41</f>
        <v>2036.66902925989</v>
      </c>
    </row>
    <row r="43" customFormat="false" ht="15" hidden="false" customHeight="false" outlineLevel="0" collapsed="false">
      <c r="A43" s="5" t="s">
        <v>358</v>
      </c>
      <c r="C43" s="11" t="n">
        <f aca="false">C38+C42</f>
        <v>983.381341450008</v>
      </c>
      <c r="D43" s="11" t="n">
        <f aca="false">D38+D42</f>
        <v>1972.71482475152</v>
      </c>
      <c r="E43" s="11" t="n">
        <f aca="false">E38+E42</f>
        <v>2970.33260214649</v>
      </c>
      <c r="F43" s="11" t="n">
        <f aca="false">F38+F42</f>
        <v>3978.6479319041</v>
      </c>
      <c r="G43" s="11" t="n">
        <f aca="false">G38+G42</f>
        <v>5000.16753571864</v>
      </c>
      <c r="H43" s="11" t="n">
        <f aca="false">H38+H42</f>
        <v>6037.50527419845</v>
      </c>
      <c r="I43" s="11" t="n">
        <f aca="false">I38+I42</f>
        <v>7093.39733318731</v>
      </c>
      <c r="J43" s="11" t="n">
        <f aca="false">J38+J42</f>
        <v>8170.7191414502</v>
      </c>
      <c r="K43" s="11" t="n">
        <f aca="false">K38+K42</f>
        <v>9272.50427219319</v>
      </c>
      <c r="L43" s="11" t="n">
        <f aca="false">L38+L42</f>
        <v>10401.9656175923</v>
      </c>
      <c r="M43" s="11" t="n">
        <f aca="false">M38+M42</f>
        <v>11562.5191676904</v>
      </c>
      <c r="N43" s="11" t="n">
        <f aca="false">N38+N42</f>
        <v>12757.8107735054</v>
      </c>
      <c r="O43" s="11" t="n">
        <f aca="false">O38+O42</f>
        <v>13991.7463299167</v>
      </c>
      <c r="P43" s="11" t="n">
        <f aca="false">P38+P42</f>
        <v>15268.5258779474</v>
      </c>
      <c r="Q43" s="11" t="n">
        <f aca="false">Q38+Q42</f>
        <v>16592.6821996778</v>
      </c>
      <c r="R43" s="11" t="n">
        <f aca="false">R38+R42</f>
        <v>17969.1245636498</v>
      </c>
      <c r="S43" s="11" t="n">
        <f aca="false">S38+S42</f>
        <v>19403.1883758945</v>
      </c>
      <c r="T43" s="11" t="n">
        <f aca="false">T38+T42</f>
        <v>20900.6916035328</v>
      </c>
      <c r="U43" s="11" t="n">
        <f aca="false">U38+U42</f>
        <v>22467.9989664395</v>
      </c>
      <c r="V43" s="11" t="n">
        <f aca="false">V38+V42</f>
        <v>24112.0950402336</v>
      </c>
      <c r="W43" s="11" t="n">
        <f aca="false">W38+W42</f>
        <v>25840.6675837327</v>
      </c>
      <c r="X43" s="11" t="n">
        <f aca="false">X38+X42</f>
        <v>27662.2025993113</v>
      </c>
      <c r="Y43" s="11" t="n">
        <f aca="false">Y38+Y42</f>
        <v>29586.092859137</v>
      </c>
      <c r="Z43" s="11" t="n">
        <f aca="false">Z38+Z42</f>
        <v>31622.7618883969</v>
      </c>
    </row>
    <row r="44" customFormat="false" ht="15" hidden="false" customHeight="false" outlineLevel="0" collapsed="false">
      <c r="A44" s="34" t="s">
        <v>55</v>
      </c>
      <c r="C44" s="11" t="n">
        <f aca="false">C43*12</f>
        <v>11800.5760974001</v>
      </c>
      <c r="D44" s="11" t="n">
        <f aca="false">D43*12</f>
        <v>23672.5778970182</v>
      </c>
      <c r="E44" s="11" t="n">
        <f aca="false">E43*12</f>
        <v>35643.9912257579</v>
      </c>
      <c r="F44" s="11" t="n">
        <f aca="false">F43*12</f>
        <v>47743.7751828492</v>
      </c>
      <c r="G44" s="11" t="n">
        <f aca="false">G43*12</f>
        <v>60002.0104286237</v>
      </c>
      <c r="H44" s="11" t="n">
        <f aca="false">H43*12</f>
        <v>72450.0632903814</v>
      </c>
      <c r="I44" s="11" t="n">
        <f aca="false">I43*12</f>
        <v>85120.7679982477</v>
      </c>
      <c r="J44" s="11" t="n">
        <f aca="false">J43*12</f>
        <v>98048.6296974024</v>
      </c>
      <c r="K44" s="11" t="n">
        <f aca="false">K43*12</f>
        <v>111270.051266318</v>
      </c>
      <c r="L44" s="11" t="n">
        <f aca="false">L43*12</f>
        <v>124823.587411107</v>
      </c>
      <c r="M44" s="11" t="n">
        <f aca="false">M43*12</f>
        <v>138750.230012284</v>
      </c>
      <c r="N44" s="11" t="n">
        <f aca="false">N43*12</f>
        <v>153093.729282064</v>
      </c>
      <c r="O44" s="11" t="n">
        <f aca="false">O43*12</f>
        <v>167900.955959</v>
      </c>
      <c r="P44" s="11" t="n">
        <f aca="false">P43*12</f>
        <v>183222.310535369</v>
      </c>
      <c r="Q44" s="11" t="n">
        <f aca="false">Q43*12</f>
        <v>199112.186396134</v>
      </c>
      <c r="R44" s="11" t="n">
        <f aca="false">R43*12</f>
        <v>215629.494763797</v>
      </c>
      <c r="S44" s="11" t="n">
        <f aca="false">S43*12</f>
        <v>232838.260510734</v>
      </c>
      <c r="T44" s="11" t="n">
        <f aca="false">T43*12</f>
        <v>250808.299242393</v>
      </c>
      <c r="U44" s="11" t="n">
        <f aca="false">U43*12</f>
        <v>269615.987597273</v>
      </c>
      <c r="V44" s="11" t="n">
        <f aca="false">V43*12</f>
        <v>289345.140482803</v>
      </c>
      <c r="W44" s="11" t="n">
        <f aca="false">W43*12</f>
        <v>310088.011004792</v>
      </c>
      <c r="X44" s="11" t="n">
        <f aca="false">X43*12</f>
        <v>331946.431191736</v>
      </c>
      <c r="Y44" s="11" t="n">
        <f aca="false">Y43*12</f>
        <v>355033.114309644</v>
      </c>
      <c r="Z44" s="11" t="n">
        <f aca="false">Z43*12</f>
        <v>379473.142660762</v>
      </c>
    </row>
    <row r="46" customFormat="false" ht="15" hidden="false" customHeight="false" outlineLevel="0" collapsed="false">
      <c r="A46" s="34" t="s">
        <v>609</v>
      </c>
      <c r="C46" s="11" t="n">
        <f aca="false">C43*$B$19</f>
        <v>835.874140232507</v>
      </c>
      <c r="D46" s="11" t="n">
        <f aca="false">D43*$B$19</f>
        <v>1676.80760103879</v>
      </c>
      <c r="E46" s="11" t="n">
        <f aca="false">E43*$B$19</f>
        <v>2524.78271182452</v>
      </c>
      <c r="F46" s="11" t="n">
        <f aca="false">F43*$B$19</f>
        <v>3381.85074211849</v>
      </c>
      <c r="G46" s="11" t="n">
        <f aca="false">G43*$B$19</f>
        <v>4250.14240536084</v>
      </c>
      <c r="H46" s="11" t="n">
        <f aca="false">H43*$B$19</f>
        <v>5131.87948306868</v>
      </c>
      <c r="I46" s="11" t="n">
        <f aca="false">I43*$B$19</f>
        <v>6029.38773320921</v>
      </c>
      <c r="J46" s="11" t="n">
        <f aca="false">J43*$B$19</f>
        <v>6945.11127023267</v>
      </c>
      <c r="K46" s="11" t="n">
        <f aca="false">K43*$B$19</f>
        <v>7881.62863136421</v>
      </c>
      <c r="L46" s="11" t="n">
        <f aca="false">L43*$B$19</f>
        <v>8841.67077495343</v>
      </c>
      <c r="M46" s="11" t="n">
        <f aca="false">M43*$B$19</f>
        <v>9828.14129253681</v>
      </c>
      <c r="N46" s="11" t="n">
        <f aca="false">N43*$B$19</f>
        <v>10844.1391574795</v>
      </c>
      <c r="O46" s="11" t="n">
        <f aca="false">O43*$B$19</f>
        <v>11892.9843804292</v>
      </c>
      <c r="P46" s="11" t="n">
        <f aca="false">P43*$B$19</f>
        <v>12978.2469962553</v>
      </c>
      <c r="Q46" s="11" t="n">
        <f aca="false">Q43*$B$19</f>
        <v>14103.7798697261</v>
      </c>
      <c r="R46" s="11" t="n">
        <f aca="false">R43*$B$19</f>
        <v>15273.7558791023</v>
      </c>
      <c r="S46" s="11" t="n">
        <f aca="false">S43*$B$19</f>
        <v>16492.7101195103</v>
      </c>
      <c r="T46" s="11" t="n">
        <f aca="false">T43*$B$19</f>
        <v>17765.5878630028</v>
      </c>
      <c r="U46" s="11" t="n">
        <f aca="false">U43*$B$19</f>
        <v>19097.7991214735</v>
      </c>
      <c r="V46" s="11" t="n">
        <f aca="false">V43*$B$19</f>
        <v>20495.2807841986</v>
      </c>
      <c r="W46" s="11" t="n">
        <f aca="false">W43*$B$19</f>
        <v>21964.5674461728</v>
      </c>
      <c r="X46" s="11" t="n">
        <f aca="false">X43*$B$19</f>
        <v>23512.8722094146</v>
      </c>
      <c r="Y46" s="11" t="n">
        <f aca="false">Y43*$B$19</f>
        <v>25148.1789302664</v>
      </c>
      <c r="Z46" s="11" t="n">
        <f aca="false">Z43*$B$19</f>
        <v>26879.3476051373</v>
      </c>
    </row>
    <row r="47" customFormat="false" ht="15" hidden="false" customHeight="false" outlineLevel="0" collapsed="false">
      <c r="A47" s="34" t="s">
        <v>610</v>
      </c>
      <c r="C47" s="11" t="n">
        <f aca="false">$B$20</f>
        <v>5393.98333333333</v>
      </c>
      <c r="D47" s="11" t="n">
        <f aca="false">C47*(1+$B$21)</f>
        <v>5501.863</v>
      </c>
      <c r="E47" s="11" t="n">
        <f aca="false">D47*(1+$B$21)</f>
        <v>5611.90026</v>
      </c>
      <c r="F47" s="11" t="n">
        <f aca="false">E47*(1+$B$21)</f>
        <v>5724.1382652</v>
      </c>
      <c r="G47" s="11" t="n">
        <f aca="false">F47*(1+$B$21)</f>
        <v>5838.621030504</v>
      </c>
      <c r="H47" s="11" t="n">
        <f aca="false">G47*(1+$B$21)</f>
        <v>5955.39345111408</v>
      </c>
      <c r="I47" s="11" t="n">
        <f aca="false">H47*(1+$B$21)</f>
        <v>6074.50132013636</v>
      </c>
      <c r="J47" s="11" t="n">
        <f aca="false">I47*(1+$B$21)</f>
        <v>6195.99134653909</v>
      </c>
      <c r="K47" s="11" t="n">
        <f aca="false">J47*(1+$B$21)</f>
        <v>6319.91117346987</v>
      </c>
      <c r="L47" s="11" t="n">
        <f aca="false">K47*(1+$B$21)</f>
        <v>6446.30939693927</v>
      </c>
      <c r="M47" s="11" t="n">
        <f aca="false">L47*(1+$B$21)</f>
        <v>6575.23558487806</v>
      </c>
      <c r="N47" s="11" t="n">
        <f aca="false">M47*(1+$B$21)</f>
        <v>6706.74029657562</v>
      </c>
      <c r="O47" s="11" t="n">
        <f aca="false">N47*(1+$B$21)</f>
        <v>6840.87510250713</v>
      </c>
      <c r="P47" s="11" t="n">
        <f aca="false">O47*(1+$B$21)</f>
        <v>6977.69260455727</v>
      </c>
      <c r="Q47" s="11" t="n">
        <f aca="false">P47*(1+$B$21)</f>
        <v>7117.24645664842</v>
      </c>
      <c r="R47" s="11" t="n">
        <f aca="false">Q47*(1+$B$21)</f>
        <v>7259.59138578139</v>
      </c>
      <c r="S47" s="11" t="n">
        <f aca="false">R47*(1+$B$21)</f>
        <v>7404.78321349702</v>
      </c>
      <c r="T47" s="11" t="n">
        <f aca="false">S47*(1+$B$21)</f>
        <v>7552.87887776696</v>
      </c>
      <c r="U47" s="11" t="n">
        <f aca="false">T47*(1+$B$21)</f>
        <v>7703.93645532229</v>
      </c>
      <c r="V47" s="11" t="n">
        <f aca="false">U47*(1+$B$21)</f>
        <v>7858.01518442874</v>
      </c>
      <c r="W47" s="11" t="n">
        <f aca="false">V47*(1+$B$21)</f>
        <v>8015.17548811732</v>
      </c>
      <c r="X47" s="11" t="n">
        <f aca="false">W47*(1+$B$21)</f>
        <v>8175.47899787966</v>
      </c>
      <c r="Y47" s="11" t="n">
        <f aca="false">X47*(1+$B$21)</f>
        <v>8338.98857783726</v>
      </c>
      <c r="Z47" s="11" t="n">
        <f aca="false">Y47*(1+$B$21)</f>
        <v>8505.768349394</v>
      </c>
    </row>
    <row r="48" customFormat="false" ht="15" hidden="false" customHeight="false" outlineLevel="0" collapsed="false">
      <c r="A48" s="5" t="s">
        <v>611</v>
      </c>
      <c r="C48" s="11" t="n">
        <f aca="false">C46-C47</f>
        <v>-4558.10919310083</v>
      </c>
      <c r="D48" s="11" t="n">
        <f aca="false">D46-D47</f>
        <v>-3825.05539896121</v>
      </c>
      <c r="E48" s="11" t="n">
        <f aca="false">E46-E47</f>
        <v>-3087.11754817548</v>
      </c>
      <c r="F48" s="11" t="n">
        <f aca="false">F46-F47</f>
        <v>-2342.28752308152</v>
      </c>
      <c r="G48" s="11" t="n">
        <f aca="false">G46-G47</f>
        <v>-1588.47862514316</v>
      </c>
      <c r="H48" s="11" t="n">
        <f aca="false">H46-H47</f>
        <v>-823.5139680454</v>
      </c>
      <c r="I48" s="11" t="n">
        <f aca="false">I46-I47</f>
        <v>-45.1135869271484</v>
      </c>
      <c r="J48" s="11" t="n">
        <f aca="false">J46-J47</f>
        <v>749.119923693578</v>
      </c>
      <c r="K48" s="11" t="n">
        <f aca="false">K46-K47</f>
        <v>1561.71745789434</v>
      </c>
      <c r="L48" s="11" t="n">
        <f aca="false">L46-L47</f>
        <v>2395.36137801417</v>
      </c>
      <c r="M48" s="11" t="n">
        <f aca="false">M46-M47</f>
        <v>3252.90570765876</v>
      </c>
      <c r="N48" s="11" t="n">
        <f aca="false">N46-N47</f>
        <v>4137.39886090393</v>
      </c>
      <c r="O48" s="11" t="n">
        <f aca="false">O46-O47</f>
        <v>5052.10927792207</v>
      </c>
      <c r="P48" s="11" t="n">
        <f aca="false">P46-P47</f>
        <v>6000.55439169804</v>
      </c>
      <c r="Q48" s="11" t="n">
        <f aca="false">Q46-Q47</f>
        <v>6986.53341307771</v>
      </c>
      <c r="R48" s="11" t="n">
        <f aca="false">R46-R47</f>
        <v>8014.16449332093</v>
      </c>
      <c r="S48" s="11" t="n">
        <f aca="false">S46-S47</f>
        <v>9087.92690601333</v>
      </c>
      <c r="T48" s="11" t="n">
        <f aca="false">T46-T47</f>
        <v>10212.7089852359</v>
      </c>
      <c r="U48" s="11" t="n">
        <f aca="false">U46-U47</f>
        <v>11393.8626661512</v>
      </c>
      <c r="V48" s="11" t="n">
        <f aca="false">V46-V47</f>
        <v>12637.2655997698</v>
      </c>
      <c r="W48" s="11" t="n">
        <f aca="false">W46-W47</f>
        <v>13949.3919580554</v>
      </c>
      <c r="X48" s="11" t="n">
        <f aca="false">X46-X47</f>
        <v>15337.3932115349</v>
      </c>
      <c r="Y48" s="11" t="n">
        <f aca="false">Y46-Y47</f>
        <v>16809.1903524292</v>
      </c>
      <c r="Z48" s="11" t="n">
        <f aca="false">Z46-Z47</f>
        <v>18373.5792557433</v>
      </c>
    </row>
    <row r="51" customFormat="false" ht="15" hidden="false" customHeight="false" outlineLevel="0" collapsed="false">
      <c r="A51" s="8" t="s">
        <v>612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customFormat="false" ht="15" hidden="false" customHeight="false" outlineLevel="0" collapsed="false">
      <c r="A52" s="5" t="s">
        <v>613</v>
      </c>
      <c r="B52" s="38" t="n">
        <f aca="false">N43</f>
        <v>12757.8107735054</v>
      </c>
    </row>
    <row r="53" customFormat="false" ht="15" hidden="false" customHeight="false" outlineLevel="0" collapsed="false">
      <c r="A53" s="5" t="s">
        <v>614</v>
      </c>
      <c r="B53" s="38" t="n">
        <f aca="false">Z43</f>
        <v>31622.7618883969</v>
      </c>
    </row>
    <row r="54" customFormat="false" ht="15" hidden="false" customHeight="false" outlineLevel="0" collapsed="false">
      <c r="A54" s="5" t="s">
        <v>615</v>
      </c>
      <c r="B54" s="38" t="n">
        <f aca="false">Z44</f>
        <v>379473.142660762</v>
      </c>
    </row>
    <row r="55" customFormat="false" ht="15" hidden="false" customHeight="false" outlineLevel="0" collapsed="false">
      <c r="A55" s="5" t="s">
        <v>616</v>
      </c>
      <c r="B55" s="42" t="n">
        <f aca="false">Z36</f>
        <v>123.876299827905</v>
      </c>
    </row>
    <row r="56" customFormat="false" ht="15" hidden="false" customHeight="false" outlineLevel="0" collapsed="false">
      <c r="A56" s="5" t="s">
        <v>617</v>
      </c>
      <c r="B56" s="70" t="n">
        <f aca="false">Calculator!B70</f>
        <v>19667.6268290002</v>
      </c>
    </row>
    <row r="57" customFormat="false" ht="15" hidden="false" customHeight="false" outlineLevel="0" collapsed="false">
      <c r="A57" s="5" t="s">
        <v>618</v>
      </c>
      <c r="B57" s="71" t="str">
        <f aca="false">IFERROR(INDEX($C$24:$Z$24,MATCH(TRUE(),INDEX($C$48:$Z$48&gt;0,0),0)),"not within 24 months")</f>
        <v>Apr-27</v>
      </c>
    </row>
    <row r="58" customFormat="false" ht="15" hidden="false" customHeight="false" outlineLevel="0" collapsed="false">
      <c r="A58" s="5" t="s">
        <v>619</v>
      </c>
      <c r="B58" s="72" t="n">
        <f aca="false">COUNTIF(C48:Z48,"&gt;0")</f>
        <v>17</v>
      </c>
    </row>
    <row r="60" customFormat="false" ht="15" hidden="false" customHeight="false" outlineLevel="0" collapsed="false">
      <c r="A60" s="23" t="s">
        <v>620</v>
      </c>
    </row>
    <row r="62" customFormat="false" ht="15" hidden="false" customHeight="false" outlineLevel="0" collapsed="false">
      <c r="A62" s="3" t="s">
        <v>621</v>
      </c>
    </row>
  </sheetData>
  <mergeCells count="5">
    <mergeCell ref="A1:AA1"/>
    <mergeCell ref="A2:AA2"/>
    <mergeCell ref="A6:AA6"/>
    <mergeCell ref="A23:AA23"/>
    <mergeCell ref="A51:AA5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66"/>
    <col collapsed="false" customWidth="true" hidden="false" outlineLevel="0" max="5" min="5" style="0" width="10"/>
  </cols>
  <sheetData>
    <row r="1" customFormat="false" ht="24" hidden="false" customHeight="true" outlineLevel="0" collapsed="false">
      <c r="A1" s="1" t="s">
        <v>622</v>
      </c>
      <c r="B1" s="1"/>
      <c r="C1" s="1"/>
      <c r="D1" s="1"/>
      <c r="E1" s="1"/>
    </row>
    <row r="2" customFormat="false" ht="13.5" hidden="false" customHeight="true" outlineLevel="0" collapsed="false">
      <c r="A2" s="2" t="s">
        <v>623</v>
      </c>
      <c r="B2" s="2"/>
      <c r="C2" s="2"/>
      <c r="D2" s="2"/>
      <c r="E2" s="2"/>
    </row>
    <row r="4" customFormat="false" ht="15" hidden="false" customHeight="false" outlineLevel="0" collapsed="false">
      <c r="A4" s="9" t="s">
        <v>462</v>
      </c>
      <c r="B4" s="9" t="s">
        <v>41</v>
      </c>
      <c r="C4" s="9" t="s">
        <v>45</v>
      </c>
      <c r="D4" s="9" t="s">
        <v>624</v>
      </c>
    </row>
    <row r="5" customFormat="false" ht="15" hidden="false" customHeight="false" outlineLevel="0" collapsed="false">
      <c r="A5" s="5" t="s">
        <v>625</v>
      </c>
      <c r="B5" s="4" t="s">
        <v>626</v>
      </c>
      <c r="C5" s="4" t="s">
        <v>627</v>
      </c>
      <c r="D5" s="7" t="s">
        <v>628</v>
      </c>
    </row>
    <row r="6" customFormat="false" ht="15" hidden="false" customHeight="false" outlineLevel="0" collapsed="false">
      <c r="A6" s="5" t="s">
        <v>625</v>
      </c>
      <c r="B6" s="4" t="s">
        <v>629</v>
      </c>
      <c r="C6" s="4" t="s">
        <v>630</v>
      </c>
      <c r="D6" s="7" t="s">
        <v>631</v>
      </c>
    </row>
    <row r="7" customFormat="false" ht="15" hidden="false" customHeight="false" outlineLevel="0" collapsed="false">
      <c r="A7" s="5" t="s">
        <v>632</v>
      </c>
      <c r="B7" s="4" t="s">
        <v>633</v>
      </c>
      <c r="C7" s="4" t="s">
        <v>634</v>
      </c>
      <c r="D7" s="7" t="s">
        <v>635</v>
      </c>
    </row>
    <row r="8" customFormat="false" ht="15" hidden="false" customHeight="false" outlineLevel="0" collapsed="false">
      <c r="A8" s="5" t="s">
        <v>632</v>
      </c>
      <c r="B8" s="4" t="s">
        <v>636</v>
      </c>
      <c r="C8" s="4" t="s">
        <v>637</v>
      </c>
      <c r="D8" s="7" t="s">
        <v>638</v>
      </c>
    </row>
    <row r="9" customFormat="false" ht="15" hidden="false" customHeight="false" outlineLevel="0" collapsed="false">
      <c r="A9" s="5" t="s">
        <v>632</v>
      </c>
      <c r="B9" s="4" t="s">
        <v>639</v>
      </c>
      <c r="C9" s="4" t="s">
        <v>640</v>
      </c>
      <c r="D9" s="7" t="s">
        <v>641</v>
      </c>
    </row>
    <row r="10" customFormat="false" ht="15" hidden="false" customHeight="false" outlineLevel="0" collapsed="false">
      <c r="A10" s="5" t="s">
        <v>642</v>
      </c>
      <c r="B10" s="4" t="s">
        <v>310</v>
      </c>
      <c r="C10" s="4" t="s">
        <v>643</v>
      </c>
      <c r="D10" s="7" t="s">
        <v>644</v>
      </c>
    </row>
    <row r="11" customFormat="false" ht="15" hidden="false" customHeight="false" outlineLevel="0" collapsed="false">
      <c r="A11" s="5" t="s">
        <v>642</v>
      </c>
      <c r="B11" s="4" t="s">
        <v>645</v>
      </c>
      <c r="C11" s="4" t="s">
        <v>314</v>
      </c>
      <c r="D11" s="7" t="s">
        <v>646</v>
      </c>
    </row>
    <row r="12" customFormat="false" ht="15" hidden="false" customHeight="false" outlineLevel="0" collapsed="false">
      <c r="A12" s="5" t="s">
        <v>642</v>
      </c>
      <c r="B12" s="4" t="s">
        <v>647</v>
      </c>
      <c r="C12" s="4" t="s">
        <v>552</v>
      </c>
      <c r="D12" s="7" t="s">
        <v>648</v>
      </c>
    </row>
    <row r="13" customFormat="false" ht="15" hidden="false" customHeight="false" outlineLevel="0" collapsed="false">
      <c r="A13" s="5" t="s">
        <v>642</v>
      </c>
      <c r="B13" s="4" t="s">
        <v>649</v>
      </c>
      <c r="C13" s="4" t="s">
        <v>650</v>
      </c>
      <c r="D13" s="7" t="s">
        <v>651</v>
      </c>
    </row>
    <row r="14" customFormat="false" ht="15" hidden="false" customHeight="false" outlineLevel="0" collapsed="false">
      <c r="A14" s="5" t="s">
        <v>642</v>
      </c>
      <c r="B14" s="4" t="s">
        <v>652</v>
      </c>
      <c r="C14" s="4" t="s">
        <v>653</v>
      </c>
      <c r="D14" s="7" t="s">
        <v>654</v>
      </c>
    </row>
    <row r="15" customFormat="false" ht="15" hidden="false" customHeight="false" outlineLevel="0" collapsed="false">
      <c r="A15" s="5" t="s">
        <v>655</v>
      </c>
      <c r="B15" s="4" t="s">
        <v>656</v>
      </c>
      <c r="C15" s="4" t="s">
        <v>657</v>
      </c>
      <c r="D15" s="7" t="s">
        <v>658</v>
      </c>
    </row>
    <row r="16" customFormat="false" ht="15" hidden="false" customHeight="false" outlineLevel="0" collapsed="false">
      <c r="A16" s="5" t="s">
        <v>655</v>
      </c>
      <c r="B16" s="4" t="s">
        <v>659</v>
      </c>
      <c r="C16" s="4" t="s">
        <v>660</v>
      </c>
      <c r="D16" s="7" t="s">
        <v>661</v>
      </c>
    </row>
    <row r="17" customFormat="false" ht="15" hidden="false" customHeight="false" outlineLevel="0" collapsed="false">
      <c r="A17" s="5" t="s">
        <v>655</v>
      </c>
      <c r="B17" s="4" t="s">
        <v>206</v>
      </c>
      <c r="C17" s="4" t="s">
        <v>144</v>
      </c>
      <c r="D17" s="7" t="s">
        <v>662</v>
      </c>
    </row>
    <row r="18" customFormat="false" ht="15" hidden="false" customHeight="false" outlineLevel="0" collapsed="false">
      <c r="A18" s="5" t="s">
        <v>663</v>
      </c>
      <c r="B18" s="4" t="s">
        <v>664</v>
      </c>
      <c r="C18" s="4" t="s">
        <v>665</v>
      </c>
      <c r="D18" s="7" t="s">
        <v>666</v>
      </c>
    </row>
    <row r="19" customFormat="false" ht="15" hidden="false" customHeight="false" outlineLevel="0" collapsed="false">
      <c r="A19" s="5" t="s">
        <v>663</v>
      </c>
      <c r="B19" s="4" t="s">
        <v>667</v>
      </c>
      <c r="C19" s="4" t="s">
        <v>668</v>
      </c>
      <c r="D19" s="7" t="s">
        <v>669</v>
      </c>
    </row>
    <row r="20" customFormat="false" ht="15" hidden="false" customHeight="false" outlineLevel="0" collapsed="false">
      <c r="A20" s="5" t="s">
        <v>663</v>
      </c>
      <c r="B20" s="4" t="s">
        <v>670</v>
      </c>
      <c r="C20" s="4" t="s">
        <v>671</v>
      </c>
      <c r="D20" s="7" t="s">
        <v>672</v>
      </c>
    </row>
    <row r="21" customFormat="false" ht="15" hidden="false" customHeight="false" outlineLevel="0" collapsed="false">
      <c r="A21" s="5" t="s">
        <v>663</v>
      </c>
      <c r="B21" s="4" t="s">
        <v>673</v>
      </c>
      <c r="C21" s="4" t="s">
        <v>674</v>
      </c>
      <c r="D21" s="7" t="s">
        <v>675</v>
      </c>
    </row>
    <row r="22" customFormat="false" ht="15" hidden="false" customHeight="false" outlineLevel="0" collapsed="false">
      <c r="A22" s="5" t="s">
        <v>663</v>
      </c>
      <c r="B22" s="4" t="s">
        <v>676</v>
      </c>
      <c r="C22" s="4" t="s">
        <v>677</v>
      </c>
      <c r="D22" s="7" t="s">
        <v>678</v>
      </c>
    </row>
    <row r="23" customFormat="false" ht="15" hidden="false" customHeight="false" outlineLevel="0" collapsed="false">
      <c r="A23" s="5" t="s">
        <v>663</v>
      </c>
      <c r="B23" s="4" t="s">
        <v>679</v>
      </c>
      <c r="C23" s="4" t="s">
        <v>680</v>
      </c>
      <c r="D23" s="7" t="s">
        <v>681</v>
      </c>
    </row>
    <row r="24" customFormat="false" ht="15" hidden="false" customHeight="false" outlineLevel="0" collapsed="false">
      <c r="A24" s="5" t="s">
        <v>663</v>
      </c>
      <c r="B24" s="4" t="s">
        <v>682</v>
      </c>
      <c r="C24" s="4" t="s">
        <v>683</v>
      </c>
      <c r="D24" s="7" t="s">
        <v>684</v>
      </c>
    </row>
    <row r="25" customFormat="false" ht="15" hidden="false" customHeight="false" outlineLevel="0" collapsed="false">
      <c r="A25" s="5" t="s">
        <v>663</v>
      </c>
      <c r="B25" s="4" t="s">
        <v>685</v>
      </c>
      <c r="C25" s="4" t="s">
        <v>686</v>
      </c>
      <c r="D25" s="7" t="s">
        <v>687</v>
      </c>
    </row>
    <row r="26" customFormat="false" ht="15" hidden="false" customHeight="false" outlineLevel="0" collapsed="false">
      <c r="A26" s="5" t="s">
        <v>688</v>
      </c>
      <c r="B26" s="4" t="s">
        <v>689</v>
      </c>
      <c r="C26" s="4" t="s">
        <v>690</v>
      </c>
      <c r="D26" s="7" t="s">
        <v>691</v>
      </c>
    </row>
    <row r="27" customFormat="false" ht="15" hidden="false" customHeight="false" outlineLevel="0" collapsed="false">
      <c r="A27" s="5" t="s">
        <v>688</v>
      </c>
      <c r="B27" s="4" t="s">
        <v>692</v>
      </c>
      <c r="C27" s="4" t="s">
        <v>693</v>
      </c>
      <c r="D27" s="7" t="s">
        <v>694</v>
      </c>
    </row>
    <row r="28" customFormat="false" ht="15" hidden="false" customHeight="false" outlineLevel="0" collapsed="false">
      <c r="A28" s="5" t="s">
        <v>695</v>
      </c>
      <c r="B28" s="4" t="s">
        <v>696</v>
      </c>
      <c r="C28" s="4" t="s">
        <v>697</v>
      </c>
      <c r="D28" s="7" t="s">
        <v>698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2026-08-13T14:48:59Z</dcterms:created>
  <dc:creator>openpyxl</dc:creator>
  <dc:description/>
  <dc:language>en-US</dc:language>
  <cp:lastModifiedBy/>
  <dcterms:modified xsi:type="dcterms:W3CDTF">2026-08-13T14:48:59Z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